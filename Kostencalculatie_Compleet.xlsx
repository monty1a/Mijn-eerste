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eriode-overzicht" sheetId="2" state="visible" r:id="rId2"/>
    <sheet name="Kousen" sheetId="3" state="visible" r:id="rId3"/>
    <sheet name="Prognose" sheetId="4" state="visible" r:id="rId4"/>
    <sheet name="Calculatie" sheetId="5" state="visible" r:id="rId5"/>
    <sheet name="SAERTEX 2026" sheetId="6" state="visible" r:id="rId6"/>
    <sheet name="Tarieven 2026" sheetId="7" state="visible" r:id="rId7"/>
    <sheet name="SAERTEX-prijstabel" sheetId="8" state="hidden" r:id="rId8"/>
    <sheet name="Prijzen" sheetId="9" state="hidden" r:id="rId9"/>
    <sheet name="Instellingen" sheetId="10" state="hidden" r:id="rId10"/>
  </sheets>
  <externalReferences>
    <externalReference r:id="rId11"/>
    <externalReference r:id="rId12"/>
    <externalReference r:id="rId13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TOT_VERW">Prognose!$F$57</definedName>
    <definedName name="TOT_GEM">Prognose!$G$57</definedName>
    <definedName name="TOT_REST">Prognose!$H$57</definedName>
    <definedName name="_xlnm.Print_Area" localSheetId="8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11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  <numFmt numFmtId="172" formatCode="dd-mm-yyyy"/>
    <numFmt numFmtId="173" formatCode="#,##0.00\ &quot;€&quot;;-#,##0.00\ &quot;€&quot;;&quot;&quot;"/>
    <numFmt numFmtId="174" formatCode="yyyy-mm-dd h:mm:ss"/>
  </numFmts>
  <fonts count="46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  <font>
      <b val="1"/>
      <color rgb="00C55A11"/>
      <sz val="11"/>
    </font>
    <font>
      <b val="1"/>
      <sz val="10"/>
    </font>
    <font>
      <b val="1"/>
      <sz val="11"/>
    </font>
    <font>
      <b val="1"/>
      <sz val="9"/>
    </font>
    <font>
      <i val="1"/>
      <color rgb="00888888"/>
      <sz val="8"/>
    </font>
    <font>
      <b val="1"/>
      <color rgb="00000000"/>
    </font>
    <font>
      <color rgb="00000000"/>
    </font>
    <font>
      <b val="1"/>
      <color rgb="00C55A11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444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  <xf numFmtId="172" fontId="0" fillId="12" borderId="82" pivotButton="0" quotePrefix="0" xfId="0"/>
    <xf numFmtId="172" fontId="0" fillId="0" borderId="82" pivotButton="0" quotePrefix="0" xfId="0"/>
    <xf numFmtId="170" fontId="0" fillId="11" borderId="82" pivotButton="0" quotePrefix="0" xfId="0"/>
    <xf numFmtId="170" fontId="28" fillId="14" borderId="82" pivotButton="0" quotePrefix="0" xfId="0"/>
    <xf numFmtId="170" fontId="21" fillId="0" borderId="0" pivotButton="0" quotePrefix="0" xfId="0"/>
    <xf numFmtId="0" fontId="0" fillId="16" borderId="82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170" fontId="21" fillId="11" borderId="0" pivotButton="0" quotePrefix="0" xfId="0"/>
    <xf numFmtId="0" fontId="39" fillId="0" borderId="82" applyAlignment="1" pivotButton="0" quotePrefix="0" xfId="0">
      <alignment horizontal="right"/>
    </xf>
    <xf numFmtId="170" fontId="40" fillId="12" borderId="82" pivotButton="0" quotePrefix="0" xfId="0"/>
    <xf numFmtId="170" fontId="40" fillId="16" borderId="82" pivotButton="0" quotePrefix="0" xfId="0"/>
    <xf numFmtId="170" fontId="40" fillId="14" borderId="82" pivotButton="0" quotePrefix="0" xfId="0"/>
    <xf numFmtId="170" fontId="40" fillId="11" borderId="82" pivotButton="0" quotePrefix="0" xfId="0"/>
    <xf numFmtId="9" fontId="40" fillId="16" borderId="82" pivotButton="0" quotePrefix="0" xfId="0"/>
    <xf numFmtId="173" fontId="0" fillId="12" borderId="82" pivotButton="0" quotePrefix="0" xfId="0"/>
    <xf numFmtId="173" fontId="0" fillId="16" borderId="82" pivotButton="0" quotePrefix="0" xfId="0"/>
    <xf numFmtId="9" fontId="0" fillId="0" borderId="82" applyAlignment="1" pivotButton="0" quotePrefix="0" xfId="0">
      <alignment horizontal="center"/>
    </xf>
    <xf numFmtId="0" fontId="0" fillId="13" borderId="82" pivotButton="0" quotePrefix="0" xfId="0"/>
    <xf numFmtId="170" fontId="21" fillId="13" borderId="82" pivotButton="0" quotePrefix="0" xfId="0"/>
    <xf numFmtId="0" fontId="23" fillId="10" borderId="82" pivotButton="0" quotePrefix="0" xfId="0"/>
    <xf numFmtId="170" fontId="23" fillId="10" borderId="82" pivotButton="0" quotePrefix="0" xfId="0"/>
    <xf numFmtId="172" fontId="0" fillId="12" borderId="82" pivotButton="0" quotePrefix="0" xfId="0"/>
    <xf numFmtId="172" fontId="0" fillId="0" borderId="82" pivotButton="0" quotePrefix="0" xfId="0"/>
    <xf numFmtId="0" fontId="38" fillId="0" borderId="0" pivotButton="0" quotePrefix="0" xfId="0"/>
    <xf numFmtId="170" fontId="0" fillId="16" borderId="82" applyAlignment="1" pivotButton="0" quotePrefix="0" xfId="0">
      <alignment horizontal="right"/>
    </xf>
    <xf numFmtId="0" fontId="41" fillId="0" borderId="0" pivotButton="0" quotePrefix="0" xfId="0"/>
    <xf numFmtId="0" fontId="42" fillId="0" borderId="0" pivotButton="0" quotePrefix="0" xfId="0"/>
    <xf numFmtId="171" fontId="0" fillId="16" borderId="82" applyAlignment="1" pivotButton="0" quotePrefix="0" xfId="0">
      <alignment horizontal="center"/>
    </xf>
    <xf numFmtId="170" fontId="0" fillId="0" borderId="0" pivotButton="0" quotePrefix="0" xfId="0"/>
    <xf numFmtId="170" fontId="21" fillId="16" borderId="82" pivotButton="0" quotePrefix="0" xfId="0"/>
    <xf numFmtId="0" fontId="33" fillId="0" borderId="82" applyAlignment="1" pivotButton="0" quotePrefix="0" xfId="0">
      <alignment horizontal="right"/>
    </xf>
    <xf numFmtId="172" fontId="0" fillId="16" borderId="82" pivotButton="0" quotePrefix="0" xfId="0"/>
    <xf numFmtId="0" fontId="21" fillId="0" borderId="82" applyAlignment="1" pivotButton="0" quotePrefix="0" xfId="0">
      <alignment horizontal="right"/>
    </xf>
    <xf numFmtId="0" fontId="20" fillId="14" borderId="82" pivotButton="0" quotePrefix="0" xfId="0"/>
    <xf numFmtId="170" fontId="20" fillId="10" borderId="82" applyAlignment="1" pivotButton="0" quotePrefix="0" xfId="0">
      <alignment horizontal="center" vertical="center" wrapText="1"/>
    </xf>
    <xf numFmtId="172" fontId="40" fillId="11" borderId="82" pivotButton="0" quotePrefix="0" xfId="0"/>
    <xf numFmtId="0" fontId="43" fillId="0" borderId="82" pivotButton="0" quotePrefix="0" xfId="0"/>
    <xf numFmtId="170" fontId="43" fillId="16" borderId="82" pivotButton="0" quotePrefix="0" xfId="0"/>
    <xf numFmtId="0" fontId="43" fillId="12" borderId="82" applyAlignment="1" pivotButton="0" quotePrefix="0" xfId="0">
      <alignment horizontal="center"/>
    </xf>
    <xf numFmtId="0" fontId="44" fillId="0" borderId="82" applyAlignment="1" pivotButton="0" quotePrefix="0" xfId="0">
      <alignment horizontal="right"/>
    </xf>
    <xf numFmtId="172" fontId="44" fillId="16" borderId="82" pivotButton="0" quotePrefix="0" xfId="0"/>
    <xf numFmtId="170" fontId="44" fillId="16" borderId="82" pivotButton="0" quotePrefix="0" xfId="0"/>
    <xf numFmtId="0" fontId="43" fillId="0" borderId="82" applyAlignment="1" pivotButton="0" quotePrefix="0" xfId="0">
      <alignment horizontal="right"/>
    </xf>
    <xf numFmtId="170" fontId="43" fillId="11" borderId="82" pivotButton="0" quotePrefix="0" xfId="0"/>
    <xf numFmtId="170" fontId="44" fillId="12" borderId="82" pivotButton="0" quotePrefix="0" xfId="0"/>
    <xf numFmtId="171" fontId="0" fillId="16" borderId="82" pivotButton="0" quotePrefix="0" xfId="0"/>
    <xf numFmtId="0" fontId="45" fillId="0" borderId="0" pivotButton="0" quotePrefix="0" xfId="0"/>
    <xf numFmtId="171" fontId="21" fillId="12" borderId="82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externalLink" Target="/xl/externalLinks/externalLink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'Kousen'!N81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13" customWidth="1" min="9" max="9"/>
  </cols>
  <sheetData>
    <row r="1">
      <c r="A1" s="371" t="inlineStr">
        <is>
          <t>PERIODE-OVERZICHT — kies een periode en alles ververst</t>
        </is>
      </c>
    </row>
    <row r="2">
      <c r="A2" s="432" t="inlineStr">
        <is>
          <t>Aanneemsom (excl. btw):</t>
        </is>
      </c>
      <c r="C2" s="433">
        <f>Calculatie!F24</f>
        <v/>
      </c>
      <c r="D2" s="422" t="inlineStr">
        <is>
          <t>(gekoppeld aan Calculatie; pas daar aanneemsom/termijnen aan)</t>
        </is>
      </c>
    </row>
    <row r="4">
      <c r="A4" s="257" t="inlineStr">
        <is>
          <t>GEKOZEN PERIODE</t>
        </is>
      </c>
      <c r="B4" s="257" t="n"/>
      <c r="C4" s="257" t="n"/>
    </row>
    <row r="5">
      <c r="A5" s="432" t="inlineStr">
        <is>
          <t>Kies periode:</t>
        </is>
      </c>
      <c r="B5" s="434" t="inlineStr">
        <is>
          <t>Periode 1</t>
        </is>
      </c>
    </row>
    <row r="6">
      <c r="A6" s="435" t="inlineStr">
        <is>
          <t>Periode loopt van</t>
        </is>
      </c>
      <c r="B6" s="436">
        <f>INDEX($B$25:$B$37,MATCH($B$5,$A$25:$A$37,0))</f>
        <v/>
      </c>
    </row>
    <row r="7">
      <c r="A7" s="435" t="inlineStr">
        <is>
          <t>t/m</t>
        </is>
      </c>
      <c r="B7" s="436">
        <f>INDEX($C$25:$C$37,MATCH($B$5,$A$25:$A$37,0))</f>
        <v/>
      </c>
    </row>
    <row r="9">
      <c r="A9" s="435" t="inlineStr">
        <is>
          <t>Omzet gefactureerd t/m periode</t>
        </is>
      </c>
      <c r="B9" s="437">
        <f>INDEX($F$25:$F$37,MATCH($B$5,$A$25:$A$37,0))</f>
        <v/>
      </c>
    </row>
    <row r="10">
      <c r="A10" s="435" t="inlineStr">
        <is>
          <t>Materiaalkosten gerealiseerd t/m</t>
        </is>
      </c>
      <c r="B10" s="437">
        <f>INDEX($D$25:$D$37,MATCH($B$5,$A$25:$A$37,0))</f>
        <v/>
      </c>
    </row>
    <row r="11">
      <c r="A11" s="435" t="inlineStr">
        <is>
          <t>Overige kosten t/m periode</t>
        </is>
      </c>
      <c r="B11" s="437">
        <f>INDEX($G$25:$G$37,MATCH($B$5,$A$25:$A$37,0))</f>
        <v/>
      </c>
    </row>
    <row r="12">
      <c r="A12" s="435" t="inlineStr">
        <is>
          <t>Totale kosten t/m periode</t>
        </is>
      </c>
      <c r="B12" s="437">
        <f>INDEX($H$25:$H$37,MATCH($B$5,$A$25:$A$37,0))</f>
        <v/>
      </c>
    </row>
    <row r="13">
      <c r="A13" s="438" t="inlineStr">
        <is>
          <t>RESULTAAT t/m periode</t>
        </is>
      </c>
      <c r="B13" s="439">
        <f>INDEX($I$25:$I$37,MATCH($B$5,$A$25:$A$37,0))</f>
        <v/>
      </c>
    </row>
    <row r="15">
      <c r="A15" s="429" t="inlineStr">
        <is>
          <t>PROGNOSE EINDE WERK</t>
        </is>
      </c>
      <c r="B15" s="429" t="n"/>
      <c r="C15" s="429" t="n"/>
    </row>
    <row r="16">
      <c r="A16" s="435" t="inlineStr">
        <is>
          <t>Verwachte aanneemsom</t>
        </is>
      </c>
      <c r="B16" s="437">
        <f>$C$2</f>
        <v/>
      </c>
    </row>
    <row r="17">
      <c r="A17" s="435" t="inlineStr">
        <is>
          <t>Verwachte materiaalkosten (alle kousen)</t>
        </is>
      </c>
      <c r="B17" s="437">
        <f>SUM(Kousen!$N$5:$N$80)</f>
        <v/>
      </c>
    </row>
    <row r="18">
      <c r="A18" s="435" t="inlineStr">
        <is>
          <t>Verwachte overige kosten (totaal werk)</t>
        </is>
      </c>
      <c r="B18" s="440" t="n"/>
    </row>
    <row r="19">
      <c r="A19" s="435" t="inlineStr">
        <is>
          <t>Verwachte totale kosten</t>
        </is>
      </c>
      <c r="B19" s="437">
        <f>B17+B18</f>
        <v/>
      </c>
    </row>
    <row r="20">
      <c r="A20" s="438" t="inlineStr">
        <is>
          <t>PROGNOSERESULTAAT</t>
        </is>
      </c>
      <c r="B20" s="408">
        <f>B16-B19</f>
        <v/>
      </c>
    </row>
    <row r="24" ht="40" customHeight="1">
      <c r="A24" s="315" t="inlineStr">
        <is>
          <t>Periode</t>
        </is>
      </c>
      <c r="B24" s="315" t="inlineStr">
        <is>
          <t>Startdatum</t>
        </is>
      </c>
      <c r="C24" s="315" t="inlineStr">
        <is>
          <t>Einddatum</t>
        </is>
      </c>
      <c r="D24" s="315" t="inlineStr">
        <is>
          <t>Materiaal gerealiseerd t/m</t>
        </is>
      </c>
      <c r="E24" s="315" t="inlineStr">
        <is>
          <t>Materiaal nog te verwachten</t>
        </is>
      </c>
      <c r="F24" s="315" t="inlineStr">
        <is>
          <t>Omzet gefactureerd t/m</t>
        </is>
      </c>
      <c r="G24" s="315" t="inlineStr">
        <is>
          <t>Overige kosten t/m</t>
        </is>
      </c>
      <c r="H24" s="315" t="inlineStr">
        <is>
          <t>Totale kosten t/m</t>
        </is>
      </c>
      <c r="I24" s="315" t="inlineStr">
        <is>
          <t>Resultaat t/m</t>
        </is>
      </c>
    </row>
    <row r="25">
      <c r="A25" s="262" t="inlineStr">
        <is>
          <t>Periode 1</t>
        </is>
      </c>
      <c r="B25" s="417" t="n">
        <v>45292</v>
      </c>
      <c r="C25" s="418">
        <f>B25+27</f>
        <v/>
      </c>
      <c r="D25" s="392">
        <f>SUMIFS(Kousen!$N$5:$N$80,Kousen!$I$5:$I$80,"&lt;="&amp;$C25)</f>
        <v/>
      </c>
      <c r="E25" s="392">
        <f>SUM(Kousen!$N$5:$N$80)-$D25</f>
        <v/>
      </c>
      <c r="F25" s="385" t="n"/>
      <c r="G25" s="385" t="n"/>
      <c r="H25" s="392">
        <f>$D25+$G25</f>
        <v/>
      </c>
      <c r="I25" s="398">
        <f>$F25-$H25</f>
        <v/>
      </c>
    </row>
    <row r="26">
      <c r="A26" s="262" t="inlineStr">
        <is>
          <t>Periode 2</t>
        </is>
      </c>
      <c r="B26" s="418">
        <f>C25+1</f>
        <v/>
      </c>
      <c r="C26" s="418">
        <f>B26+27</f>
        <v/>
      </c>
      <c r="D26" s="392">
        <f>SUMIFS(Kousen!$N$5:$N$80,Kousen!$I$5:$I$80,"&lt;="&amp;$C26)</f>
        <v/>
      </c>
      <c r="E26" s="392">
        <f>SUM(Kousen!$N$5:$N$80)-$D26</f>
        <v/>
      </c>
      <c r="F26" s="385" t="n"/>
      <c r="G26" s="385" t="n"/>
      <c r="H26" s="392">
        <f>$D26+$G26</f>
        <v/>
      </c>
      <c r="I26" s="398">
        <f>$F26-$H26</f>
        <v/>
      </c>
    </row>
    <row r="27">
      <c r="A27" s="262" t="inlineStr">
        <is>
          <t>Periode 3</t>
        </is>
      </c>
      <c r="B27" s="418">
        <f>C26+1</f>
        <v/>
      </c>
      <c r="C27" s="418">
        <f>B27+27</f>
        <v/>
      </c>
      <c r="D27" s="392">
        <f>SUMIFS(Kousen!$N$5:$N$80,Kousen!$I$5:$I$80,"&lt;="&amp;$C27)</f>
        <v/>
      </c>
      <c r="E27" s="392">
        <f>SUM(Kousen!$N$5:$N$80)-$D27</f>
        <v/>
      </c>
      <c r="F27" s="385" t="n"/>
      <c r="G27" s="385" t="n"/>
      <c r="H27" s="392">
        <f>$D27+$G27</f>
        <v/>
      </c>
      <c r="I27" s="398">
        <f>$F27-$H27</f>
        <v/>
      </c>
    </row>
    <row r="28">
      <c r="A28" s="262" t="inlineStr">
        <is>
          <t>Periode 4</t>
        </is>
      </c>
      <c r="B28" s="418">
        <f>C27+1</f>
        <v/>
      </c>
      <c r="C28" s="418">
        <f>B28+27</f>
        <v/>
      </c>
      <c r="D28" s="392">
        <f>SUMIFS(Kousen!$N$5:$N$80,Kousen!$I$5:$I$80,"&lt;="&amp;$C28)</f>
        <v/>
      </c>
      <c r="E28" s="392">
        <f>SUM(Kousen!$N$5:$N$80)-$D28</f>
        <v/>
      </c>
      <c r="F28" s="385" t="n"/>
      <c r="G28" s="385" t="n"/>
      <c r="H28" s="392">
        <f>$D28+$G28</f>
        <v/>
      </c>
      <c r="I28" s="398">
        <f>$F28-$H28</f>
        <v/>
      </c>
    </row>
    <row r="29">
      <c r="A29" s="262" t="inlineStr">
        <is>
          <t>Periode 5</t>
        </is>
      </c>
      <c r="B29" s="418">
        <f>C28+1</f>
        <v/>
      </c>
      <c r="C29" s="418">
        <f>B29+27</f>
        <v/>
      </c>
      <c r="D29" s="392">
        <f>SUMIFS(Kousen!$N$5:$N$80,Kousen!$I$5:$I$80,"&lt;="&amp;$C29)</f>
        <v/>
      </c>
      <c r="E29" s="392">
        <f>SUM(Kousen!$N$5:$N$80)-$D29</f>
        <v/>
      </c>
      <c r="F29" s="385" t="n"/>
      <c r="G29" s="385" t="n"/>
      <c r="H29" s="392">
        <f>$D29+$G29</f>
        <v/>
      </c>
      <c r="I29" s="398">
        <f>$F29-$H29</f>
        <v/>
      </c>
    </row>
    <row r="30">
      <c r="A30" s="262" t="inlineStr">
        <is>
          <t>Periode 6</t>
        </is>
      </c>
      <c r="B30" s="418">
        <f>C29+1</f>
        <v/>
      </c>
      <c r="C30" s="418">
        <f>B30+27</f>
        <v/>
      </c>
      <c r="D30" s="392">
        <f>SUMIFS(Kousen!$N$5:$N$80,Kousen!$I$5:$I$80,"&lt;="&amp;$C30)</f>
        <v/>
      </c>
      <c r="E30" s="392">
        <f>SUM(Kousen!$N$5:$N$80)-$D30</f>
        <v/>
      </c>
      <c r="F30" s="385" t="n"/>
      <c r="G30" s="385" t="n"/>
      <c r="H30" s="392">
        <f>$D30+$G30</f>
        <v/>
      </c>
      <c r="I30" s="398">
        <f>$F30-$H30</f>
        <v/>
      </c>
    </row>
    <row r="31">
      <c r="A31" s="262" t="inlineStr">
        <is>
          <t>Periode 7</t>
        </is>
      </c>
      <c r="B31" s="418">
        <f>C30+1</f>
        <v/>
      </c>
      <c r="C31" s="418">
        <f>B31+27</f>
        <v/>
      </c>
      <c r="D31" s="392">
        <f>SUMIFS(Kousen!$N$5:$N$80,Kousen!$I$5:$I$80,"&lt;="&amp;$C31)</f>
        <v/>
      </c>
      <c r="E31" s="392">
        <f>SUM(Kousen!$N$5:$N$80)-$D31</f>
        <v/>
      </c>
      <c r="F31" s="385" t="n"/>
      <c r="G31" s="385" t="n"/>
      <c r="H31" s="392">
        <f>$D31+$G31</f>
        <v/>
      </c>
      <c r="I31" s="398">
        <f>$F31-$H31</f>
        <v/>
      </c>
    </row>
    <row r="32">
      <c r="A32" s="262" t="inlineStr">
        <is>
          <t>Periode 8</t>
        </is>
      </c>
      <c r="B32" s="418">
        <f>C31+1</f>
        <v/>
      </c>
      <c r="C32" s="418">
        <f>B32+27</f>
        <v/>
      </c>
      <c r="D32" s="392">
        <f>SUMIFS(Kousen!$N$5:$N$80,Kousen!$I$5:$I$80,"&lt;="&amp;$C32)</f>
        <v/>
      </c>
      <c r="E32" s="392">
        <f>SUM(Kousen!$N$5:$N$80)-$D32</f>
        <v/>
      </c>
      <c r="F32" s="385" t="n"/>
      <c r="G32" s="385" t="n"/>
      <c r="H32" s="392">
        <f>$D32+$G32</f>
        <v/>
      </c>
      <c r="I32" s="398">
        <f>$F32-$H32</f>
        <v/>
      </c>
    </row>
    <row r="33">
      <c r="A33" s="262" t="inlineStr">
        <is>
          <t>Periode 9</t>
        </is>
      </c>
      <c r="B33" s="418">
        <f>C32+1</f>
        <v/>
      </c>
      <c r="C33" s="418">
        <f>B33+27</f>
        <v/>
      </c>
      <c r="D33" s="392">
        <f>SUMIFS(Kousen!$N$5:$N$80,Kousen!$I$5:$I$80,"&lt;="&amp;$C33)</f>
        <v/>
      </c>
      <c r="E33" s="392">
        <f>SUM(Kousen!$N$5:$N$80)-$D33</f>
        <v/>
      </c>
      <c r="F33" s="385" t="n"/>
      <c r="G33" s="385" t="n"/>
      <c r="H33" s="392">
        <f>$D33+$G33</f>
        <v/>
      </c>
      <c r="I33" s="398">
        <f>$F33-$H33</f>
        <v/>
      </c>
    </row>
    <row r="34">
      <c r="A34" s="262" t="inlineStr">
        <is>
          <t>Periode 10</t>
        </is>
      </c>
      <c r="B34" s="418">
        <f>C33+1</f>
        <v/>
      </c>
      <c r="C34" s="418">
        <f>B34+27</f>
        <v/>
      </c>
      <c r="D34" s="392">
        <f>SUMIFS(Kousen!$N$5:$N$80,Kousen!$I$5:$I$80,"&lt;="&amp;$C34)</f>
        <v/>
      </c>
      <c r="E34" s="392">
        <f>SUM(Kousen!$N$5:$N$80)-$D34</f>
        <v/>
      </c>
      <c r="F34" s="385" t="n"/>
      <c r="G34" s="385" t="n"/>
      <c r="H34" s="392">
        <f>$D34+$G34</f>
        <v/>
      </c>
      <c r="I34" s="398">
        <f>$F34-$H34</f>
        <v/>
      </c>
    </row>
    <row r="35">
      <c r="A35" s="262" t="inlineStr">
        <is>
          <t>Periode 11</t>
        </is>
      </c>
      <c r="B35" s="418">
        <f>C34+1</f>
        <v/>
      </c>
      <c r="C35" s="418">
        <f>B35+27</f>
        <v/>
      </c>
      <c r="D35" s="392">
        <f>SUMIFS(Kousen!$N$5:$N$80,Kousen!$I$5:$I$80,"&lt;="&amp;$C35)</f>
        <v/>
      </c>
      <c r="E35" s="392">
        <f>SUM(Kousen!$N$5:$N$80)-$D35</f>
        <v/>
      </c>
      <c r="F35" s="385" t="n"/>
      <c r="G35" s="385" t="n"/>
      <c r="H35" s="392">
        <f>$D35+$G35</f>
        <v/>
      </c>
      <c r="I35" s="398">
        <f>$F35-$H35</f>
        <v/>
      </c>
    </row>
    <row r="36">
      <c r="A36" s="262" t="inlineStr">
        <is>
          <t>Periode 12</t>
        </is>
      </c>
      <c r="B36" s="418">
        <f>C35+1</f>
        <v/>
      </c>
      <c r="C36" s="418">
        <f>B36+27</f>
        <v/>
      </c>
      <c r="D36" s="392">
        <f>SUMIFS(Kousen!$N$5:$N$80,Kousen!$I$5:$I$80,"&lt;="&amp;$C36)</f>
        <v/>
      </c>
      <c r="E36" s="392">
        <f>SUM(Kousen!$N$5:$N$80)-$D36</f>
        <v/>
      </c>
      <c r="F36" s="385" t="n"/>
      <c r="G36" s="385" t="n"/>
      <c r="H36" s="392">
        <f>$D36+$G36</f>
        <v/>
      </c>
      <c r="I36" s="398">
        <f>$F36-$H36</f>
        <v/>
      </c>
    </row>
    <row r="37">
      <c r="A37" s="262" t="inlineStr">
        <is>
          <t>Periode 13</t>
        </is>
      </c>
      <c r="B37" s="418">
        <f>C36+1</f>
        <v/>
      </c>
      <c r="C37" s="418">
        <f>B37+27</f>
        <v/>
      </c>
      <c r="D37" s="392">
        <f>SUMIFS(Kousen!$N$5:$N$80,Kousen!$I$5:$I$80,"&lt;="&amp;$C37)</f>
        <v/>
      </c>
      <c r="E37" s="392">
        <f>SUM(Kousen!$N$5:$N$80)-$D37</f>
        <v/>
      </c>
      <c r="F37" s="385" t="n"/>
      <c r="G37" s="385" t="n"/>
      <c r="H37" s="392">
        <f>$D37+$G37</f>
        <v/>
      </c>
      <c r="I37" s="398">
        <f>$F37-$H37</f>
        <v/>
      </c>
    </row>
  </sheetData>
  <dataValidations count="1">
    <dataValidation sqref="B5" showDropDown="0" showInputMessage="0" showErrorMessage="0" allowBlank="0" type="list">
      <formula1>$A$25:$A$37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8" customWidth="1" min="4" max="4"/>
    <col width="6" customWidth="1" min="5" max="5"/>
    <col width="7" customWidth="1" min="6" max="6"/>
    <col width="10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11" customWidth="1" min="13" max="13"/>
    <col width="13" customWidth="1" min="14" max="14"/>
    <col width="14" customWidth="1" min="15" max="15"/>
  </cols>
  <sheetData>
    <row r="1">
      <c r="A1" s="371" t="inlineStr">
        <is>
          <t>KOUSEN — masterlijst; inbrengdatum bepaalt de periode, prijs via SAERTEX 2026</t>
        </is>
      </c>
    </row>
    <row r="2">
      <c r="A2" s="386" t="inlineStr">
        <is>
          <t>Geel = invoer. €/m (incl. indexering), handling, kosten en periode rekenen automatisch.</t>
        </is>
      </c>
    </row>
    <row r="3">
      <c r="A3" s="421" t="inlineStr">
        <is>
          <t>Handling meerekenen:</t>
        </is>
      </c>
      <c r="B3" s="306" t="inlineStr">
        <is>
          <t>ja</t>
        </is>
      </c>
      <c r="D3" s="421" t="inlineStr">
        <is>
          <t>Dry-liner €/m:</t>
        </is>
      </c>
      <c r="E3" s="385" t="n"/>
      <c r="F3" s="421" t="inlineStr">
        <is>
          <t>Indexering SAERTEX:</t>
        </is>
      </c>
      <c r="G3" s="441">
        <f>'SAERTEX 2026'!$B$3</f>
        <v/>
      </c>
      <c r="I3" s="422" t="inlineStr">
        <is>
          <t>(dry-€/m = tarief voor omslag/eindstuk; indexering stel je in op SAERTEX 2026)</t>
        </is>
      </c>
    </row>
    <row r="4" ht="32" customHeight="1">
      <c r="A4" s="315" t="inlineStr">
        <is>
          <t>Kousnr</t>
        </is>
      </c>
      <c r="B4" s="315" t="inlineStr">
        <is>
          <t>Locatie / straat</t>
        </is>
      </c>
      <c r="C4" s="315" t="inlineStr">
        <is>
          <t>Type</t>
        </is>
      </c>
      <c r="D4" s="315" t="inlineStr">
        <is>
          <t>Profiel</t>
        </is>
      </c>
      <c r="E4" s="315" t="inlineStr">
        <is>
          <t>DN</t>
        </is>
      </c>
      <c r="F4" s="315" t="inlineStr">
        <is>
          <t>Dikte
(mm)</t>
        </is>
      </c>
      <c r="G4" s="315" t="inlineStr">
        <is>
          <t>Geïmpreg.
lengte (m)</t>
        </is>
      </c>
      <c r="H4" s="315" t="inlineStr">
        <is>
          <t>Dry/omslag
lengte (m)</t>
        </is>
      </c>
      <c r="I4" s="315" t="inlineStr">
        <is>
          <t>Inbreng-
datum</t>
        </is>
      </c>
      <c r="J4" s="315" t="inlineStr">
        <is>
          <t>€/m
(basis)</t>
        </is>
      </c>
      <c r="K4" s="315" t="inlineStr">
        <is>
          <t>Handling
%</t>
        </is>
      </c>
      <c r="L4" s="315" t="inlineStr">
        <is>
          <t>Kosten
geïmpreg.</t>
        </is>
      </c>
      <c r="M4" s="315" t="inlineStr">
        <is>
          <t>Kosten
dry-liner</t>
        </is>
      </c>
      <c r="N4" s="315" t="inlineStr">
        <is>
          <t>Kostprijs
totaal (€)</t>
        </is>
      </c>
      <c r="O4" s="315" t="inlineStr">
        <is>
          <t>Periode
(auto)</t>
        </is>
      </c>
    </row>
    <row r="5">
      <c r="A5" s="306" t="inlineStr">
        <is>
          <t>501</t>
        </is>
      </c>
      <c r="B5" s="388" t="inlineStr">
        <is>
          <t>schansbaan</t>
        </is>
      </c>
      <c r="C5" s="306" t="inlineStr">
        <is>
          <t>S+</t>
        </is>
      </c>
      <c r="D5" s="306" t="inlineStr">
        <is>
          <t>rond</t>
        </is>
      </c>
      <c r="E5" s="306" t="n">
        <v>250</v>
      </c>
      <c r="F5" s="306" t="n">
        <v>6</v>
      </c>
      <c r="G5" s="391" t="n">
        <v>121.8</v>
      </c>
      <c r="H5" s="391" t="n">
        <v>4.75</v>
      </c>
      <c r="I5" s="417" t="n">
        <v>45294</v>
      </c>
      <c r="J5" s="392">
        <f>IFERROR(SUMIFS('SAERTEX-prijstabel'!$E$2:$E$496,'SAERTEX-prijstabel'!$A$2:$A$496,$C5,'SAERTEX-prijstabel'!$B$2:$B$496,$D5,'SAERTEX-prijstabel'!$C$2:$C$496,$E5,'SAERTEX-prijstabel'!$D$2:$D$496,$F5),0)*(1+'SAERTEX 2026'!$B$3)</f>
        <v/>
      </c>
      <c r="K5" s="423">
        <f>IF($B$3&lt;&gt;"ja",0,IF((N($G5)+N($H5))=0,0,IF((N($G5)+N($H5))&lt;15,0.25,IF((N($G5)+N($H5))&lt;=50,0.035,IF((N($G5)+N($H5))&lt;=200,0.025,0.01)))))</f>
        <v/>
      </c>
      <c r="L5" s="392">
        <f>IF($J5=0,0,$G5*$J5*(1+$K5))</f>
        <v/>
      </c>
      <c r="M5" s="392">
        <f>N($H5)*$E$3</f>
        <v/>
      </c>
      <c r="N5" s="398">
        <f>$L5+$M5</f>
        <v/>
      </c>
      <c r="O5" s="401">
        <f>IF($I5="","nog te plannen",IFERROR(LOOKUP($I5,'Periode-overzicht'!$B$25:$B$37,'Periode-overzicht'!$A$25:$A$37),"&lt;P1"))</f>
        <v/>
      </c>
    </row>
    <row r="6">
      <c r="A6" s="306" t="inlineStr">
        <is>
          <t>502</t>
        </is>
      </c>
      <c r="B6" s="388" t="inlineStr">
        <is>
          <t>semsschans</t>
        </is>
      </c>
      <c r="C6" s="306" t="inlineStr">
        <is>
          <t>S+</t>
        </is>
      </c>
      <c r="D6" s="306" t="inlineStr">
        <is>
          <t>rond</t>
        </is>
      </c>
      <c r="E6" s="306" t="n">
        <v>250</v>
      </c>
      <c r="F6" s="306" t="n">
        <v>6</v>
      </c>
      <c r="G6" s="391" t="n">
        <v>30.6</v>
      </c>
      <c r="H6" s="391" t="n">
        <v>4.34</v>
      </c>
      <c r="I6" s="417" t="n">
        <v>45296</v>
      </c>
      <c r="J6" s="392">
        <f>IFERROR(SUMIFS('SAERTEX-prijstabel'!$E$2:$E$496,'SAERTEX-prijstabel'!$A$2:$A$496,$C6,'SAERTEX-prijstabel'!$B$2:$B$496,$D6,'SAERTEX-prijstabel'!$C$2:$C$496,$E6,'SAERTEX-prijstabel'!$D$2:$D$496,$F6),0)*(1+'SAERTEX 2026'!$B$3)</f>
        <v/>
      </c>
      <c r="K6" s="423">
        <f>IF($B$3&lt;&gt;"ja",0,IF((N($G6)+N($H6))=0,0,IF((N($G6)+N($H6))&lt;15,0.25,IF((N($G6)+N($H6))&lt;=50,0.035,IF((N($G6)+N($H6))&lt;=200,0.025,0.01)))))</f>
        <v/>
      </c>
      <c r="L6" s="392">
        <f>IF($J6=0,0,$G6*$J6*(1+$K6))</f>
        <v/>
      </c>
      <c r="M6" s="392">
        <f>N($H6)*$E$3</f>
        <v/>
      </c>
      <c r="N6" s="398">
        <f>$L6+$M6</f>
        <v/>
      </c>
      <c r="O6" s="401">
        <f>IF($I6="","nog te plannen",IFERROR(LOOKUP($I6,'Periode-overzicht'!$B$25:$B$37,'Periode-overzicht'!$A$25:$A$37),"&lt;P1"))</f>
        <v/>
      </c>
    </row>
    <row r="7">
      <c r="A7" s="306" t="inlineStr">
        <is>
          <t>503</t>
        </is>
      </c>
      <c r="B7" s="388" t="inlineStr">
        <is>
          <t>semsschans</t>
        </is>
      </c>
      <c r="C7" s="306" t="inlineStr">
        <is>
          <t>S+</t>
        </is>
      </c>
      <c r="D7" s="306" t="inlineStr">
        <is>
          <t>rond</t>
        </is>
      </c>
      <c r="E7" s="306" t="n">
        <v>250</v>
      </c>
      <c r="F7" s="306" t="n">
        <v>6</v>
      </c>
      <c r="G7" s="391" t="n">
        <v>60</v>
      </c>
      <c r="H7" s="391" t="n">
        <v>4.3</v>
      </c>
      <c r="I7" s="417" t="n">
        <v>45298</v>
      </c>
      <c r="J7" s="392">
        <f>IFERROR(SUMIFS('SAERTEX-prijstabel'!$E$2:$E$496,'SAERTEX-prijstabel'!$A$2:$A$496,$C7,'SAERTEX-prijstabel'!$B$2:$B$496,$D7,'SAERTEX-prijstabel'!$C$2:$C$496,$E7,'SAERTEX-prijstabel'!$D$2:$D$496,$F7),0)*(1+'SAERTEX 2026'!$B$3)</f>
        <v/>
      </c>
      <c r="K7" s="423">
        <f>IF($B$3&lt;&gt;"ja",0,IF((N($G7)+N($H7))=0,0,IF((N($G7)+N($H7))&lt;15,0.25,IF((N($G7)+N($H7))&lt;=50,0.035,IF((N($G7)+N($H7))&lt;=200,0.025,0.01)))))</f>
        <v/>
      </c>
      <c r="L7" s="392">
        <f>IF($J7=0,0,$G7*$J7*(1+$K7))</f>
        <v/>
      </c>
      <c r="M7" s="392">
        <f>N($H7)*$E$3</f>
        <v/>
      </c>
      <c r="N7" s="398">
        <f>$L7+$M7</f>
        <v/>
      </c>
      <c r="O7" s="401">
        <f>IF($I7="","nog te plannen",IFERROR(LOOKUP($I7,'Periode-overzicht'!$B$25:$B$37,'Periode-overzicht'!$A$25:$A$37),"&lt;P1"))</f>
        <v/>
      </c>
    </row>
    <row r="8">
      <c r="A8" s="306" t="inlineStr">
        <is>
          <t>504</t>
        </is>
      </c>
      <c r="B8" s="388" t="inlineStr">
        <is>
          <t>van rijswijckschans</t>
        </is>
      </c>
      <c r="C8" s="306" t="inlineStr">
        <is>
          <t>S+</t>
        </is>
      </c>
      <c r="D8" s="306" t="inlineStr">
        <is>
          <t>rond</t>
        </is>
      </c>
      <c r="E8" s="306" t="n">
        <v>250</v>
      </c>
      <c r="F8" s="306" t="n">
        <v>6</v>
      </c>
      <c r="G8" s="391" t="n">
        <v>104.7</v>
      </c>
      <c r="H8" s="391" t="n">
        <v>4.44</v>
      </c>
      <c r="I8" s="417" t="n">
        <v>45300</v>
      </c>
      <c r="J8" s="392">
        <f>IFERROR(SUMIFS('SAERTEX-prijstabel'!$E$2:$E$496,'SAERTEX-prijstabel'!$A$2:$A$496,$C8,'SAERTEX-prijstabel'!$B$2:$B$496,$D8,'SAERTEX-prijstabel'!$C$2:$C$496,$E8,'SAERTEX-prijstabel'!$D$2:$D$496,$F8),0)*(1+'SAERTEX 2026'!$B$3)</f>
        <v/>
      </c>
      <c r="K8" s="423">
        <f>IF($B$3&lt;&gt;"ja",0,IF((N($G8)+N($H8))=0,0,IF((N($G8)+N($H8))&lt;15,0.25,IF((N($G8)+N($H8))&lt;=50,0.035,IF((N($G8)+N($H8))&lt;=200,0.025,0.01)))))</f>
        <v/>
      </c>
      <c r="L8" s="392">
        <f>IF($J8=0,0,$G8*$J8*(1+$K8))</f>
        <v/>
      </c>
      <c r="M8" s="392">
        <f>N($H8)*$E$3</f>
        <v/>
      </c>
      <c r="N8" s="398">
        <f>$L8+$M8</f>
        <v/>
      </c>
      <c r="O8" s="401">
        <f>IF($I8="","nog te plannen",IFERROR(LOOKUP($I8,'Periode-overzicht'!$B$25:$B$37,'Periode-overzicht'!$A$25:$A$37),"&lt;P1"))</f>
        <v/>
      </c>
    </row>
    <row r="9">
      <c r="A9" s="306" t="inlineStr">
        <is>
          <t>505</t>
        </is>
      </c>
      <c r="B9" s="388" t="inlineStr">
        <is>
          <t>van rijswijckschans</t>
        </is>
      </c>
      <c r="C9" s="306" t="inlineStr">
        <is>
          <t>S+</t>
        </is>
      </c>
      <c r="D9" s="306" t="inlineStr">
        <is>
          <t>rond</t>
        </is>
      </c>
      <c r="E9" s="306" t="n">
        <v>250</v>
      </c>
      <c r="F9" s="306" t="n">
        <v>6</v>
      </c>
      <c r="G9" s="391" t="n">
        <v>67.3</v>
      </c>
      <c r="H9" s="391" t="n">
        <v>4.61</v>
      </c>
      <c r="I9" s="417" t="n">
        <v>45302</v>
      </c>
      <c r="J9" s="392">
        <f>IFERROR(SUMIFS('SAERTEX-prijstabel'!$E$2:$E$496,'SAERTEX-prijstabel'!$A$2:$A$496,$C9,'SAERTEX-prijstabel'!$B$2:$B$496,$D9,'SAERTEX-prijstabel'!$C$2:$C$496,$E9,'SAERTEX-prijstabel'!$D$2:$D$496,$F9),0)*(1+'SAERTEX 2026'!$B$3)</f>
        <v/>
      </c>
      <c r="K9" s="423">
        <f>IF($B$3&lt;&gt;"ja",0,IF((N($G9)+N($H9))=0,0,IF((N($G9)+N($H9))&lt;15,0.25,IF((N($G9)+N($H9))&lt;=50,0.035,IF((N($G9)+N($H9))&lt;=200,0.025,0.01)))))</f>
        <v/>
      </c>
      <c r="L9" s="392">
        <f>IF($J9=0,0,$G9*$J9*(1+$K9))</f>
        <v/>
      </c>
      <c r="M9" s="392">
        <f>N($H9)*$E$3</f>
        <v/>
      </c>
      <c r="N9" s="398">
        <f>$L9+$M9</f>
        <v/>
      </c>
      <c r="O9" s="401">
        <f>IF($I9="","nog te plannen",IFERROR(LOOKUP($I9,'Periode-overzicht'!$B$25:$B$37,'Periode-overzicht'!$A$25:$A$37),"&lt;P1"))</f>
        <v/>
      </c>
    </row>
    <row r="10">
      <c r="A10" s="306" t="inlineStr">
        <is>
          <t>506</t>
        </is>
      </c>
      <c r="B10" s="388" t="inlineStr">
        <is>
          <t>van rijswijckschans</t>
        </is>
      </c>
      <c r="C10" s="306" t="inlineStr">
        <is>
          <t>S+</t>
        </is>
      </c>
      <c r="D10" s="306" t="inlineStr">
        <is>
          <t>rond</t>
        </is>
      </c>
      <c r="E10" s="306" t="n">
        <v>250</v>
      </c>
      <c r="F10" s="306" t="n">
        <v>6</v>
      </c>
      <c r="G10" s="391" t="n">
        <v>42.1</v>
      </c>
      <c r="H10" s="391" t="n">
        <v>4.35</v>
      </c>
      <c r="I10" s="417" t="n">
        <v>45304</v>
      </c>
      <c r="J10" s="392">
        <f>IFERROR(SUMIFS('SAERTEX-prijstabel'!$E$2:$E$496,'SAERTEX-prijstabel'!$A$2:$A$496,$C10,'SAERTEX-prijstabel'!$B$2:$B$496,$D10,'SAERTEX-prijstabel'!$C$2:$C$496,$E10,'SAERTEX-prijstabel'!$D$2:$D$496,$F10),0)*(1+'SAERTEX 2026'!$B$3)</f>
        <v/>
      </c>
      <c r="K10" s="423">
        <f>IF($B$3&lt;&gt;"ja",0,IF((N($G10)+N($H10))=0,0,IF((N($G10)+N($H10))&lt;15,0.25,IF((N($G10)+N($H10))&lt;=50,0.035,IF((N($G10)+N($H10))&lt;=200,0.025,0.01)))))</f>
        <v/>
      </c>
      <c r="L10" s="392">
        <f>IF($J10=0,0,$G10*$J10*(1+$K10))</f>
        <v/>
      </c>
      <c r="M10" s="392">
        <f>N($H10)*$E$3</f>
        <v/>
      </c>
      <c r="N10" s="398">
        <f>$L10+$M10</f>
        <v/>
      </c>
      <c r="O10" s="401">
        <f>IF($I10="","nog te plannen",IFERROR(LOOKUP($I10,'Periode-overzicht'!$B$25:$B$37,'Periode-overzicht'!$A$25:$A$37),"&lt;P1"))</f>
        <v/>
      </c>
    </row>
    <row r="11">
      <c r="A11" s="306" t="inlineStr">
        <is>
          <t>507</t>
        </is>
      </c>
      <c r="B11" s="388" t="inlineStr">
        <is>
          <t>van rijswijckschans</t>
        </is>
      </c>
      <c r="C11" s="306" t="inlineStr">
        <is>
          <t>S+</t>
        </is>
      </c>
      <c r="D11" s="306" t="inlineStr">
        <is>
          <t>rond</t>
        </is>
      </c>
      <c r="E11" s="306" t="n">
        <v>250</v>
      </c>
      <c r="F11" s="306" t="n">
        <v>6</v>
      </c>
      <c r="G11" s="391" t="n">
        <v>35.4</v>
      </c>
      <c r="H11" s="391" t="n">
        <v>4.61</v>
      </c>
      <c r="I11" s="417" t="n">
        <v>45306</v>
      </c>
      <c r="J11" s="392">
        <f>IFERROR(SUMIFS('SAERTEX-prijstabel'!$E$2:$E$496,'SAERTEX-prijstabel'!$A$2:$A$496,$C11,'SAERTEX-prijstabel'!$B$2:$B$496,$D11,'SAERTEX-prijstabel'!$C$2:$C$496,$E11,'SAERTEX-prijstabel'!$D$2:$D$496,$F11),0)*(1+'SAERTEX 2026'!$B$3)</f>
        <v/>
      </c>
      <c r="K11" s="423">
        <f>IF($B$3&lt;&gt;"ja",0,IF((N($G11)+N($H11))=0,0,IF((N($G11)+N($H11))&lt;15,0.25,IF((N($G11)+N($H11))&lt;=50,0.035,IF((N($G11)+N($H11))&lt;=200,0.025,0.01)))))</f>
        <v/>
      </c>
      <c r="L11" s="392">
        <f>IF($J11=0,0,$G11*$J11*(1+$K11))</f>
        <v/>
      </c>
      <c r="M11" s="392">
        <f>N($H11)*$E$3</f>
        <v/>
      </c>
      <c r="N11" s="398">
        <f>$L11+$M11</f>
        <v/>
      </c>
      <c r="O11" s="401">
        <f>IF($I11="","nog te plannen",IFERROR(LOOKUP($I11,'Periode-overzicht'!$B$25:$B$37,'Periode-overzicht'!$A$25:$A$37),"&lt;P1"))</f>
        <v/>
      </c>
    </row>
    <row r="12">
      <c r="A12" s="306" t="inlineStr">
        <is>
          <t>508</t>
        </is>
      </c>
      <c r="B12" s="388" t="inlineStr">
        <is>
          <t>offerhausschans</t>
        </is>
      </c>
      <c r="C12" s="306" t="inlineStr">
        <is>
          <t>S+</t>
        </is>
      </c>
      <c r="D12" s="306" t="inlineStr">
        <is>
          <t>rond</t>
        </is>
      </c>
      <c r="E12" s="306" t="n">
        <v>250</v>
      </c>
      <c r="F12" s="306" t="n">
        <v>6</v>
      </c>
      <c r="G12" s="391" t="n">
        <v>41.1</v>
      </c>
      <c r="H12" s="391" t="n">
        <v>4.29</v>
      </c>
      <c r="I12" s="417" t="n">
        <v>45308</v>
      </c>
      <c r="J12" s="392">
        <f>IFERROR(SUMIFS('SAERTEX-prijstabel'!$E$2:$E$496,'SAERTEX-prijstabel'!$A$2:$A$496,$C12,'SAERTEX-prijstabel'!$B$2:$B$496,$D12,'SAERTEX-prijstabel'!$C$2:$C$496,$E12,'SAERTEX-prijstabel'!$D$2:$D$496,$F12),0)*(1+'SAERTEX 2026'!$B$3)</f>
        <v/>
      </c>
      <c r="K12" s="423">
        <f>IF($B$3&lt;&gt;"ja",0,IF((N($G12)+N($H12))=0,0,IF((N($G12)+N($H12))&lt;15,0.25,IF((N($G12)+N($H12))&lt;=50,0.035,IF((N($G12)+N($H12))&lt;=200,0.025,0.01)))))</f>
        <v/>
      </c>
      <c r="L12" s="392">
        <f>IF($J12=0,0,$G12*$J12*(1+$K12))</f>
        <v/>
      </c>
      <c r="M12" s="392">
        <f>N($H12)*$E$3</f>
        <v/>
      </c>
      <c r="N12" s="398">
        <f>$L12+$M12</f>
        <v/>
      </c>
      <c r="O12" s="401">
        <f>IF($I12="","nog te plannen",IFERROR(LOOKUP($I12,'Periode-overzicht'!$B$25:$B$37,'Periode-overzicht'!$A$25:$A$37),"&lt;P1"))</f>
        <v/>
      </c>
    </row>
    <row r="13">
      <c r="A13" s="306" t="inlineStr">
        <is>
          <t>509</t>
        </is>
      </c>
      <c r="B13" s="388" t="inlineStr">
        <is>
          <t>pelschans</t>
        </is>
      </c>
      <c r="C13" s="306" t="inlineStr">
        <is>
          <t>S+</t>
        </is>
      </c>
      <c r="D13" s="306" t="inlineStr">
        <is>
          <t>rond</t>
        </is>
      </c>
      <c r="E13" s="306" t="n">
        <v>250</v>
      </c>
      <c r="F13" s="306" t="n">
        <v>6</v>
      </c>
      <c r="G13" s="391" t="n">
        <v>90.40000000000001</v>
      </c>
      <c r="H13" s="391" t="n">
        <v>4.47</v>
      </c>
      <c r="I13" s="417" t="n">
        <v>45310</v>
      </c>
      <c r="J13" s="392">
        <f>IFERROR(SUMIFS('SAERTEX-prijstabel'!$E$2:$E$496,'SAERTEX-prijstabel'!$A$2:$A$496,$C13,'SAERTEX-prijstabel'!$B$2:$B$496,$D13,'SAERTEX-prijstabel'!$C$2:$C$496,$E13,'SAERTEX-prijstabel'!$D$2:$D$496,$F13),0)*(1+'SAERTEX 2026'!$B$3)</f>
        <v/>
      </c>
      <c r="K13" s="423">
        <f>IF($B$3&lt;&gt;"ja",0,IF((N($G13)+N($H13))=0,0,IF((N($G13)+N($H13))&lt;15,0.25,IF((N($G13)+N($H13))&lt;=50,0.035,IF((N($G13)+N($H13))&lt;=200,0.025,0.01)))))</f>
        <v/>
      </c>
      <c r="L13" s="392">
        <f>IF($J13=0,0,$G13*$J13*(1+$K13))</f>
        <v/>
      </c>
      <c r="M13" s="392">
        <f>N($H13)*$E$3</f>
        <v/>
      </c>
      <c r="N13" s="398">
        <f>$L13+$M13</f>
        <v/>
      </c>
      <c r="O13" s="401">
        <f>IF($I13="","nog te plannen",IFERROR(LOOKUP($I13,'Periode-overzicht'!$B$25:$B$37,'Periode-overzicht'!$A$25:$A$37),"&lt;P1"))</f>
        <v/>
      </c>
    </row>
    <row r="14">
      <c r="A14" s="306" t="inlineStr">
        <is>
          <t>510</t>
        </is>
      </c>
      <c r="B14" s="388" t="inlineStr">
        <is>
          <t>merkesschans</t>
        </is>
      </c>
      <c r="C14" s="306" t="inlineStr">
        <is>
          <t>S+</t>
        </is>
      </c>
      <c r="D14" s="306" t="inlineStr">
        <is>
          <t>rond</t>
        </is>
      </c>
      <c r="E14" s="306" t="n">
        <v>250</v>
      </c>
      <c r="F14" s="306" t="n">
        <v>6</v>
      </c>
      <c r="G14" s="391" t="n">
        <v>133.9</v>
      </c>
      <c r="H14" s="391" t="n">
        <v>4.8</v>
      </c>
      <c r="I14" s="417" t="n">
        <v>45321</v>
      </c>
      <c r="J14" s="392">
        <f>IFERROR(SUMIFS('SAERTEX-prijstabel'!$E$2:$E$496,'SAERTEX-prijstabel'!$A$2:$A$496,$C14,'SAERTEX-prijstabel'!$B$2:$B$496,$D14,'SAERTEX-prijstabel'!$C$2:$C$496,$E14,'SAERTEX-prijstabel'!$D$2:$D$496,$F14),0)*(1+'SAERTEX 2026'!$B$3)</f>
        <v/>
      </c>
      <c r="K14" s="423">
        <f>IF($B$3&lt;&gt;"ja",0,IF((N($G14)+N($H14))=0,0,IF((N($G14)+N($H14))&lt;15,0.25,IF((N($G14)+N($H14))&lt;=50,0.035,IF((N($G14)+N($H14))&lt;=200,0.025,0.01)))))</f>
        <v/>
      </c>
      <c r="L14" s="392">
        <f>IF($J14=0,0,$G14*$J14*(1+$K14))</f>
        <v/>
      </c>
      <c r="M14" s="392">
        <f>N($H14)*$E$3</f>
        <v/>
      </c>
      <c r="N14" s="398">
        <f>$L14+$M14</f>
        <v/>
      </c>
      <c r="O14" s="401">
        <f>IF($I14="","nog te plannen",IFERROR(LOOKUP($I14,'Periode-overzicht'!$B$25:$B$37,'Periode-overzicht'!$A$25:$A$37),"&lt;P1"))</f>
        <v/>
      </c>
    </row>
    <row r="15">
      <c r="A15" s="306" t="inlineStr">
        <is>
          <t>511</t>
        </is>
      </c>
      <c r="B15" s="388" t="inlineStr">
        <is>
          <t>klinckaertschans</t>
        </is>
      </c>
      <c r="C15" s="306" t="inlineStr">
        <is>
          <t>S+</t>
        </is>
      </c>
      <c r="D15" s="306" t="inlineStr">
        <is>
          <t>rond</t>
        </is>
      </c>
      <c r="E15" s="306" t="n">
        <v>250</v>
      </c>
      <c r="F15" s="306" t="n">
        <v>6</v>
      </c>
      <c r="G15" s="391" t="n">
        <v>92.3</v>
      </c>
      <c r="H15" s="391" t="n">
        <v>4.36</v>
      </c>
      <c r="I15" s="417" t="n">
        <v>45324</v>
      </c>
      <c r="J15" s="392">
        <f>IFERROR(SUMIFS('SAERTEX-prijstabel'!$E$2:$E$496,'SAERTEX-prijstabel'!$A$2:$A$496,$C15,'SAERTEX-prijstabel'!$B$2:$B$496,$D15,'SAERTEX-prijstabel'!$C$2:$C$496,$E15,'SAERTEX-prijstabel'!$D$2:$D$496,$F15),0)*(1+'SAERTEX 2026'!$B$3)</f>
        <v/>
      </c>
      <c r="K15" s="423">
        <f>IF($B$3&lt;&gt;"ja",0,IF((N($G15)+N($H15))=0,0,IF((N($G15)+N($H15))&lt;15,0.25,IF((N($G15)+N($H15))&lt;=50,0.035,IF((N($G15)+N($H15))&lt;=200,0.025,0.01)))))</f>
        <v/>
      </c>
      <c r="L15" s="392">
        <f>IF($J15=0,0,$G15*$J15*(1+$K15))</f>
        <v/>
      </c>
      <c r="M15" s="392">
        <f>N($H15)*$E$3</f>
        <v/>
      </c>
      <c r="N15" s="398">
        <f>$L15+$M15</f>
        <v/>
      </c>
      <c r="O15" s="401">
        <f>IF($I15="","nog te plannen",IFERROR(LOOKUP($I15,'Periode-overzicht'!$B$25:$B$37,'Periode-overzicht'!$A$25:$A$37),"&lt;P1"))</f>
        <v/>
      </c>
    </row>
    <row r="16">
      <c r="A16" s="306" t="inlineStr">
        <is>
          <t>512</t>
        </is>
      </c>
      <c r="B16" s="388" t="inlineStr">
        <is>
          <t>lijnbaan</t>
        </is>
      </c>
      <c r="C16" s="306" t="inlineStr">
        <is>
          <t>S+</t>
        </is>
      </c>
      <c r="D16" s="306" t="inlineStr">
        <is>
          <t>rond</t>
        </is>
      </c>
      <c r="E16" s="306" t="n">
        <v>250</v>
      </c>
      <c r="F16" s="306" t="n">
        <v>6</v>
      </c>
      <c r="G16" s="391" t="n">
        <v>124.6</v>
      </c>
      <c r="H16" s="391" t="n">
        <v>4.6</v>
      </c>
      <c r="I16" s="417" t="n">
        <v>45327</v>
      </c>
      <c r="J16" s="392">
        <f>IFERROR(SUMIFS('SAERTEX-prijstabel'!$E$2:$E$496,'SAERTEX-prijstabel'!$A$2:$A$496,$C16,'SAERTEX-prijstabel'!$B$2:$B$496,$D16,'SAERTEX-prijstabel'!$C$2:$C$496,$E16,'SAERTEX-prijstabel'!$D$2:$D$496,$F16),0)*(1+'SAERTEX 2026'!$B$3)</f>
        <v/>
      </c>
      <c r="K16" s="423">
        <f>IF($B$3&lt;&gt;"ja",0,IF((N($G16)+N($H16))=0,0,IF((N($G16)+N($H16))&lt;15,0.25,IF((N($G16)+N($H16))&lt;=50,0.035,IF((N($G16)+N($H16))&lt;=200,0.025,0.01)))))</f>
        <v/>
      </c>
      <c r="L16" s="392">
        <f>IF($J16=0,0,$G16*$J16*(1+$K16))</f>
        <v/>
      </c>
      <c r="M16" s="392">
        <f>N($H16)*$E$3</f>
        <v/>
      </c>
      <c r="N16" s="398">
        <f>$L16+$M16</f>
        <v/>
      </c>
      <c r="O16" s="401">
        <f>IF($I16="","nog te plannen",IFERROR(LOOKUP($I16,'Periode-overzicht'!$B$25:$B$37,'Periode-overzicht'!$A$25:$A$37),"&lt;P1"))</f>
        <v/>
      </c>
    </row>
    <row r="17">
      <c r="A17" s="306" t="inlineStr">
        <is>
          <t>513</t>
        </is>
      </c>
      <c r="B17" s="388" t="inlineStr">
        <is>
          <t>van embdenruimte</t>
        </is>
      </c>
      <c r="C17" s="306" t="inlineStr">
        <is>
          <t>S+</t>
        </is>
      </c>
      <c r="D17" s="306" t="inlineStr">
        <is>
          <t>rond</t>
        </is>
      </c>
      <c r="E17" s="306" t="n">
        <v>250</v>
      </c>
      <c r="F17" s="306" t="n">
        <v>6</v>
      </c>
      <c r="G17" s="391" t="n">
        <v>67</v>
      </c>
      <c r="H17" s="391" t="n">
        <v>4.6</v>
      </c>
      <c r="I17" s="417" t="n">
        <v>45330</v>
      </c>
      <c r="J17" s="392">
        <f>IFERROR(SUMIFS('SAERTEX-prijstabel'!$E$2:$E$496,'SAERTEX-prijstabel'!$A$2:$A$496,$C17,'SAERTEX-prijstabel'!$B$2:$B$496,$D17,'SAERTEX-prijstabel'!$C$2:$C$496,$E17,'SAERTEX-prijstabel'!$D$2:$D$496,$F17),0)*(1+'SAERTEX 2026'!$B$3)</f>
        <v/>
      </c>
      <c r="K17" s="423">
        <f>IF($B$3&lt;&gt;"ja",0,IF((N($G17)+N($H17))=0,0,IF((N($G17)+N($H17))&lt;15,0.25,IF((N($G17)+N($H17))&lt;=50,0.035,IF((N($G17)+N($H17))&lt;=200,0.025,0.01)))))</f>
        <v/>
      </c>
      <c r="L17" s="392">
        <f>IF($J17=0,0,$G17*$J17*(1+$K17))</f>
        <v/>
      </c>
      <c r="M17" s="392">
        <f>N($H17)*$E$3</f>
        <v/>
      </c>
      <c r="N17" s="398">
        <f>$L17+$M17</f>
        <v/>
      </c>
      <c r="O17" s="401">
        <f>IF($I17="","nog te plannen",IFERROR(LOOKUP($I17,'Periode-overzicht'!$B$25:$B$37,'Periode-overzicht'!$A$25:$A$37),"&lt;P1"))</f>
        <v/>
      </c>
    </row>
    <row r="18">
      <c r="A18" s="306" t="inlineStr">
        <is>
          <t>514</t>
        </is>
      </c>
      <c r="B18" s="388" t="inlineStr">
        <is>
          <t>van embdenruimte</t>
        </is>
      </c>
      <c r="C18" s="306" t="inlineStr">
        <is>
          <t>S+</t>
        </is>
      </c>
      <c r="D18" s="306" t="inlineStr">
        <is>
          <t>rond</t>
        </is>
      </c>
      <c r="E18" s="306" t="n">
        <v>250</v>
      </c>
      <c r="F18" s="306" t="n">
        <v>6</v>
      </c>
      <c r="G18" s="391" t="n">
        <v>120</v>
      </c>
      <c r="H18" s="391" t="n">
        <v>4.92</v>
      </c>
      <c r="I18" s="417" t="n">
        <v>45333</v>
      </c>
      <c r="J18" s="392">
        <f>IFERROR(SUMIFS('SAERTEX-prijstabel'!$E$2:$E$496,'SAERTEX-prijstabel'!$A$2:$A$496,$C18,'SAERTEX-prijstabel'!$B$2:$B$496,$D18,'SAERTEX-prijstabel'!$C$2:$C$496,$E18,'SAERTEX-prijstabel'!$D$2:$D$496,$F18),0)*(1+'SAERTEX 2026'!$B$3)</f>
        <v/>
      </c>
      <c r="K18" s="423">
        <f>IF($B$3&lt;&gt;"ja",0,IF((N($G18)+N($H18))=0,0,IF((N($G18)+N($H18))&lt;15,0.25,IF((N($G18)+N($H18))&lt;=50,0.035,IF((N($G18)+N($H18))&lt;=200,0.025,0.01)))))</f>
        <v/>
      </c>
      <c r="L18" s="392">
        <f>IF($J18=0,0,$G18*$J18*(1+$K18))</f>
        <v/>
      </c>
      <c r="M18" s="392">
        <f>N($H18)*$E$3</f>
        <v/>
      </c>
      <c r="N18" s="398">
        <f>$L18+$M18</f>
        <v/>
      </c>
      <c r="O18" s="401">
        <f>IF($I18="","nog te plannen",IFERROR(LOOKUP($I18,'Periode-overzicht'!$B$25:$B$37,'Periode-overzicht'!$A$25:$A$37),"&lt;P1"))</f>
        <v/>
      </c>
    </row>
    <row r="19">
      <c r="A19" s="306" t="inlineStr">
        <is>
          <t>515</t>
        </is>
      </c>
      <c r="B19" s="388" t="inlineStr">
        <is>
          <t>griffinruimte</t>
        </is>
      </c>
      <c r="C19" s="306" t="inlineStr">
        <is>
          <t>S+</t>
        </is>
      </c>
      <c r="D19" s="306" t="inlineStr">
        <is>
          <t>rond</t>
        </is>
      </c>
      <c r="E19" s="306" t="n">
        <v>250</v>
      </c>
      <c r="F19" s="306" t="n">
        <v>6</v>
      </c>
      <c r="G19" s="391" t="n">
        <v>66.09999999999999</v>
      </c>
      <c r="H19" s="391" t="n">
        <v>4.67</v>
      </c>
      <c r="I19" s="417" t="n">
        <v>45336</v>
      </c>
      <c r="J19" s="392">
        <f>IFERROR(SUMIFS('SAERTEX-prijstabel'!$E$2:$E$496,'SAERTEX-prijstabel'!$A$2:$A$496,$C19,'SAERTEX-prijstabel'!$B$2:$B$496,$D19,'SAERTEX-prijstabel'!$C$2:$C$496,$E19,'SAERTEX-prijstabel'!$D$2:$D$496,$F19),0)*(1+'SAERTEX 2026'!$B$3)</f>
        <v/>
      </c>
      <c r="K19" s="423">
        <f>IF($B$3&lt;&gt;"ja",0,IF((N($G19)+N($H19))=0,0,IF((N($G19)+N($H19))&lt;15,0.25,IF((N($G19)+N($H19))&lt;=50,0.035,IF((N($G19)+N($H19))&lt;=200,0.025,0.01)))))</f>
        <v/>
      </c>
      <c r="L19" s="392">
        <f>IF($J19=0,0,$G19*$J19*(1+$K19))</f>
        <v/>
      </c>
      <c r="M19" s="392">
        <f>N($H19)*$E$3</f>
        <v/>
      </c>
      <c r="N19" s="398">
        <f>$L19+$M19</f>
        <v/>
      </c>
      <c r="O19" s="401">
        <f>IF($I19="","nog te plannen",IFERROR(LOOKUP($I19,'Periode-overzicht'!$B$25:$B$37,'Periode-overzicht'!$A$25:$A$37),"&lt;P1"))</f>
        <v/>
      </c>
    </row>
    <row r="20">
      <c r="A20" s="306" t="inlineStr">
        <is>
          <t>516</t>
        </is>
      </c>
      <c r="B20" s="388" t="inlineStr">
        <is>
          <t>de boomgaard</t>
        </is>
      </c>
      <c r="C20" s="306" t="inlineStr">
        <is>
          <t>S+</t>
        </is>
      </c>
      <c r="D20" s="306" t="inlineStr">
        <is>
          <t>rond</t>
        </is>
      </c>
      <c r="E20" s="306" t="n">
        <v>250</v>
      </c>
      <c r="F20" s="306" t="n">
        <v>6</v>
      </c>
      <c r="G20" s="391" t="n">
        <v>14.2</v>
      </c>
      <c r="H20" s="391" t="n">
        <v>6.15</v>
      </c>
      <c r="I20" s="417" t="n">
        <v>45339</v>
      </c>
      <c r="J20" s="392">
        <f>IFERROR(SUMIFS('SAERTEX-prijstabel'!$E$2:$E$496,'SAERTEX-prijstabel'!$A$2:$A$496,$C20,'SAERTEX-prijstabel'!$B$2:$B$496,$D20,'SAERTEX-prijstabel'!$C$2:$C$496,$E20,'SAERTEX-prijstabel'!$D$2:$D$496,$F20),0)*(1+'SAERTEX 2026'!$B$3)</f>
        <v/>
      </c>
      <c r="K20" s="423">
        <f>IF($B$3&lt;&gt;"ja",0,IF((N($G20)+N($H20))=0,0,IF((N($G20)+N($H20))&lt;15,0.25,IF((N($G20)+N($H20))&lt;=50,0.035,IF((N($G20)+N($H20))&lt;=200,0.025,0.01)))))</f>
        <v/>
      </c>
      <c r="L20" s="392">
        <f>IF($J20=0,0,$G20*$J20*(1+$K20))</f>
        <v/>
      </c>
      <c r="M20" s="392">
        <f>N($H20)*$E$3</f>
        <v/>
      </c>
      <c r="N20" s="398">
        <f>$L20+$M20</f>
        <v/>
      </c>
      <c r="O20" s="401">
        <f>IF($I20="","nog te plannen",IFERROR(LOOKUP($I20,'Periode-overzicht'!$B$25:$B$37,'Periode-overzicht'!$A$25:$A$37),"&lt;P1"))</f>
        <v/>
      </c>
    </row>
    <row r="21">
      <c r="A21" s="306" t="inlineStr">
        <is>
          <t>517</t>
        </is>
      </c>
      <c r="B21" s="388" t="inlineStr">
        <is>
          <t>schansbaan</t>
        </is>
      </c>
      <c r="C21" s="306" t="inlineStr">
        <is>
          <t>S+</t>
        </is>
      </c>
      <c r="D21" s="306" t="inlineStr">
        <is>
          <t>rond</t>
        </is>
      </c>
      <c r="E21" s="306" t="n">
        <v>250</v>
      </c>
      <c r="F21" s="306" t="n">
        <v>6</v>
      </c>
      <c r="G21" s="391" t="n">
        <v>49.2</v>
      </c>
      <c r="H21" s="391" t="n">
        <v>6.15</v>
      </c>
      <c r="I21" s="417" t="n">
        <v>45342</v>
      </c>
      <c r="J21" s="392">
        <f>IFERROR(SUMIFS('SAERTEX-prijstabel'!$E$2:$E$496,'SAERTEX-prijstabel'!$A$2:$A$496,$C21,'SAERTEX-prijstabel'!$B$2:$B$496,$D21,'SAERTEX-prijstabel'!$C$2:$C$496,$E21,'SAERTEX-prijstabel'!$D$2:$D$496,$F21),0)*(1+'SAERTEX 2026'!$B$3)</f>
        <v/>
      </c>
      <c r="K21" s="423">
        <f>IF($B$3&lt;&gt;"ja",0,IF((N($G21)+N($H21))=0,0,IF((N($G21)+N($H21))&lt;15,0.25,IF((N($G21)+N($H21))&lt;=50,0.035,IF((N($G21)+N($H21))&lt;=200,0.025,0.01)))))</f>
        <v/>
      </c>
      <c r="L21" s="392">
        <f>IF($J21=0,0,$G21*$J21*(1+$K21))</f>
        <v/>
      </c>
      <c r="M21" s="392">
        <f>N($H21)*$E$3</f>
        <v/>
      </c>
      <c r="N21" s="398">
        <f>$L21+$M21</f>
        <v/>
      </c>
      <c r="O21" s="401">
        <f>IF($I21="","nog te plannen",IFERROR(LOOKUP($I21,'Periode-overzicht'!$B$25:$B$37,'Periode-overzicht'!$A$25:$A$37),"&lt;P1"))</f>
        <v/>
      </c>
    </row>
    <row r="22">
      <c r="A22" s="306" t="inlineStr">
        <is>
          <t>518</t>
        </is>
      </c>
      <c r="B22" s="388" t="inlineStr">
        <is>
          <t>goudreinethof</t>
        </is>
      </c>
      <c r="C22" s="306" t="inlineStr">
        <is>
          <t>S+</t>
        </is>
      </c>
      <c r="D22" s="306" t="inlineStr">
        <is>
          <t>rond</t>
        </is>
      </c>
      <c r="E22" s="306" t="n">
        <v>300</v>
      </c>
      <c r="F22" s="306" t="n">
        <v>6</v>
      </c>
      <c r="G22" s="391" t="n">
        <v>54.3</v>
      </c>
      <c r="H22" s="391" t="n">
        <v>6.31</v>
      </c>
      <c r="I22" s="417" t="n">
        <v>45349</v>
      </c>
      <c r="J22" s="392">
        <f>IFERROR(SUMIFS('SAERTEX-prijstabel'!$E$2:$E$496,'SAERTEX-prijstabel'!$A$2:$A$496,$C22,'SAERTEX-prijstabel'!$B$2:$B$496,$D22,'SAERTEX-prijstabel'!$C$2:$C$496,$E22,'SAERTEX-prijstabel'!$D$2:$D$496,$F22),0)*(1+'SAERTEX 2026'!$B$3)</f>
        <v/>
      </c>
      <c r="K22" s="423">
        <f>IF($B$3&lt;&gt;"ja",0,IF((N($G22)+N($H22))=0,0,IF((N($G22)+N($H22))&lt;15,0.25,IF((N($G22)+N($H22))&lt;=50,0.035,IF((N($G22)+N($H22))&lt;=200,0.025,0.01)))))</f>
        <v/>
      </c>
      <c r="L22" s="392">
        <f>IF($J22=0,0,$G22*$J22*(1+$K22))</f>
        <v/>
      </c>
      <c r="M22" s="392">
        <f>N($H22)*$E$3</f>
        <v/>
      </c>
      <c r="N22" s="398">
        <f>$L22+$M22</f>
        <v/>
      </c>
      <c r="O22" s="401">
        <f>IF($I22="","nog te plannen",IFERROR(LOOKUP($I22,'Periode-overzicht'!$B$25:$B$37,'Periode-overzicht'!$A$25:$A$37),"&lt;P1"))</f>
        <v/>
      </c>
    </row>
    <row r="23">
      <c r="A23" s="306" t="inlineStr">
        <is>
          <t>519</t>
        </is>
      </c>
      <c r="B23" s="388" t="inlineStr">
        <is>
          <t>calandschans</t>
        </is>
      </c>
      <c r="C23" s="306" t="inlineStr">
        <is>
          <t>S+</t>
        </is>
      </c>
      <c r="D23" s="306" t="inlineStr">
        <is>
          <t>rond</t>
        </is>
      </c>
      <c r="E23" s="306" t="n">
        <v>250</v>
      </c>
      <c r="F23" s="306" t="n">
        <v>6</v>
      </c>
      <c r="G23" s="391" t="n">
        <v>123.6</v>
      </c>
      <c r="H23" s="391" t="n">
        <v>5.19</v>
      </c>
      <c r="I23" s="417" t="n">
        <v>45352</v>
      </c>
      <c r="J23" s="392">
        <f>IFERROR(SUMIFS('SAERTEX-prijstabel'!$E$2:$E$496,'SAERTEX-prijstabel'!$A$2:$A$496,$C23,'SAERTEX-prijstabel'!$B$2:$B$496,$D23,'SAERTEX-prijstabel'!$C$2:$C$496,$E23,'SAERTEX-prijstabel'!$D$2:$D$496,$F23),0)*(1+'SAERTEX 2026'!$B$3)</f>
        <v/>
      </c>
      <c r="K23" s="423">
        <f>IF($B$3&lt;&gt;"ja",0,IF((N($G23)+N($H23))=0,0,IF((N($G23)+N($H23))&lt;15,0.25,IF((N($G23)+N($H23))&lt;=50,0.035,IF((N($G23)+N($H23))&lt;=200,0.025,0.01)))))</f>
        <v/>
      </c>
      <c r="L23" s="392">
        <f>IF($J23=0,0,$G23*$J23*(1+$K23))</f>
        <v/>
      </c>
      <c r="M23" s="392">
        <f>N($H23)*$E$3</f>
        <v/>
      </c>
      <c r="N23" s="398">
        <f>$L23+$M23</f>
        <v/>
      </c>
      <c r="O23" s="401">
        <f>IF($I23="","nog te plannen",IFERROR(LOOKUP($I23,'Periode-overzicht'!$B$25:$B$37,'Periode-overzicht'!$A$25:$A$37),"&lt;P1"))</f>
        <v/>
      </c>
    </row>
    <row r="24">
      <c r="A24" s="306" t="inlineStr">
        <is>
          <t>520</t>
        </is>
      </c>
      <c r="B24" s="388" t="inlineStr">
        <is>
          <t>corbuloschans</t>
        </is>
      </c>
      <c r="C24" s="306" t="inlineStr">
        <is>
          <t>S+</t>
        </is>
      </c>
      <c r="D24" s="306" t="inlineStr">
        <is>
          <t>rond</t>
        </is>
      </c>
      <c r="E24" s="306" t="n">
        <v>250</v>
      </c>
      <c r="F24" s="306" t="n">
        <v>6</v>
      </c>
      <c r="G24" s="391" t="n">
        <v>87.59999999999999</v>
      </c>
      <c r="H24" s="391" t="n">
        <v>5.2</v>
      </c>
      <c r="I24" s="417" t="n">
        <v>45355</v>
      </c>
      <c r="J24" s="392">
        <f>IFERROR(SUMIFS('SAERTEX-prijstabel'!$E$2:$E$496,'SAERTEX-prijstabel'!$A$2:$A$496,$C24,'SAERTEX-prijstabel'!$B$2:$B$496,$D24,'SAERTEX-prijstabel'!$C$2:$C$496,$E24,'SAERTEX-prijstabel'!$D$2:$D$496,$F24),0)*(1+'SAERTEX 2026'!$B$3)</f>
        <v/>
      </c>
      <c r="K24" s="423">
        <f>IF($B$3&lt;&gt;"ja",0,IF((N($G24)+N($H24))=0,0,IF((N($G24)+N($H24))&lt;15,0.25,IF((N($G24)+N($H24))&lt;=50,0.035,IF((N($G24)+N($H24))&lt;=200,0.025,0.01)))))</f>
        <v/>
      </c>
      <c r="L24" s="392">
        <f>IF($J24=0,0,$G24*$J24*(1+$K24))</f>
        <v/>
      </c>
      <c r="M24" s="392">
        <f>N($H24)*$E$3</f>
        <v/>
      </c>
      <c r="N24" s="398">
        <f>$L24+$M24</f>
        <v/>
      </c>
      <c r="O24" s="401">
        <f>IF($I24="","nog te plannen",IFERROR(LOOKUP($I24,'Periode-overzicht'!$B$25:$B$37,'Periode-overzicht'!$A$25:$A$37),"&lt;P1"))</f>
        <v/>
      </c>
    </row>
    <row r="25">
      <c r="A25" s="306" t="inlineStr">
        <is>
          <t>521</t>
        </is>
      </c>
      <c r="B25" s="388" t="inlineStr">
        <is>
          <t>van den corputschans</t>
        </is>
      </c>
      <c r="C25" s="306" t="inlineStr">
        <is>
          <t>S+</t>
        </is>
      </c>
      <c r="D25" s="306" t="inlineStr">
        <is>
          <t>rond</t>
        </is>
      </c>
      <c r="E25" s="306" t="n">
        <v>250</v>
      </c>
      <c r="F25" s="306" t="n">
        <v>6</v>
      </c>
      <c r="G25" s="391" t="n">
        <v>121.4</v>
      </c>
      <c r="H25" s="391" t="n">
        <v>5.21</v>
      </c>
      <c r="I25" s="417" t="n">
        <v>45358</v>
      </c>
      <c r="J25" s="392">
        <f>IFERROR(SUMIFS('SAERTEX-prijstabel'!$E$2:$E$496,'SAERTEX-prijstabel'!$A$2:$A$496,$C25,'SAERTEX-prijstabel'!$B$2:$B$496,$D25,'SAERTEX-prijstabel'!$C$2:$C$496,$E25,'SAERTEX-prijstabel'!$D$2:$D$496,$F25),0)*(1+'SAERTEX 2026'!$B$3)</f>
        <v/>
      </c>
      <c r="K25" s="423">
        <f>IF($B$3&lt;&gt;"ja",0,IF((N($G25)+N($H25))=0,0,IF((N($G25)+N($H25))&lt;15,0.25,IF((N($G25)+N($H25))&lt;=50,0.035,IF((N($G25)+N($H25))&lt;=200,0.025,0.01)))))</f>
        <v/>
      </c>
      <c r="L25" s="392">
        <f>IF($J25=0,0,$G25*$J25*(1+$K25))</f>
        <v/>
      </c>
      <c r="M25" s="392">
        <f>N($H25)*$E$3</f>
        <v/>
      </c>
      <c r="N25" s="398">
        <f>$L25+$M25</f>
        <v/>
      </c>
      <c r="O25" s="401">
        <f>IF($I25="","nog te plannen",IFERROR(LOOKUP($I25,'Periode-overzicht'!$B$25:$B$37,'Periode-overzicht'!$A$25:$A$37),"&lt;P1"))</f>
        <v/>
      </c>
    </row>
    <row r="26">
      <c r="A26" s="306" t="inlineStr">
        <is>
          <t>522</t>
        </is>
      </c>
      <c r="B26" s="388" t="inlineStr">
        <is>
          <t>corbuloschans</t>
        </is>
      </c>
      <c r="C26" s="306" t="inlineStr">
        <is>
          <t>S+</t>
        </is>
      </c>
      <c r="D26" s="306" t="inlineStr">
        <is>
          <t>rond</t>
        </is>
      </c>
      <c r="E26" s="306" t="n">
        <v>250</v>
      </c>
      <c r="F26" s="306" t="n">
        <v>6</v>
      </c>
      <c r="G26" s="391" t="n">
        <v>93.8</v>
      </c>
      <c r="H26" s="391" t="n">
        <v>4.67</v>
      </c>
      <c r="I26" s="417" t="n">
        <v>45361</v>
      </c>
      <c r="J26" s="392">
        <f>IFERROR(SUMIFS('SAERTEX-prijstabel'!$E$2:$E$496,'SAERTEX-prijstabel'!$A$2:$A$496,$C26,'SAERTEX-prijstabel'!$B$2:$B$496,$D26,'SAERTEX-prijstabel'!$C$2:$C$496,$E26,'SAERTEX-prijstabel'!$D$2:$D$496,$F26),0)*(1+'SAERTEX 2026'!$B$3)</f>
        <v/>
      </c>
      <c r="K26" s="423">
        <f>IF($B$3&lt;&gt;"ja",0,IF((N($G26)+N($H26))=0,0,IF((N($G26)+N($H26))&lt;15,0.25,IF((N($G26)+N($H26))&lt;=50,0.035,IF((N($G26)+N($H26))&lt;=200,0.025,0.01)))))</f>
        <v/>
      </c>
      <c r="L26" s="392">
        <f>IF($J26=0,0,$G26*$J26*(1+$K26))</f>
        <v/>
      </c>
      <c r="M26" s="392">
        <f>N($H26)*$E$3</f>
        <v/>
      </c>
      <c r="N26" s="398">
        <f>$L26+$M26</f>
        <v/>
      </c>
      <c r="O26" s="401">
        <f>IF($I26="","nog te plannen",IFERROR(LOOKUP($I26,'Periode-overzicht'!$B$25:$B$37,'Periode-overzicht'!$A$25:$A$37),"&lt;P1"))</f>
        <v/>
      </c>
    </row>
    <row r="27">
      <c r="A27" s="306" t="inlineStr">
        <is>
          <t>523</t>
        </is>
      </c>
      <c r="B27" s="388" t="inlineStr">
        <is>
          <t>semsschans</t>
        </is>
      </c>
      <c r="C27" s="306" t="inlineStr">
        <is>
          <t>S+</t>
        </is>
      </c>
      <c r="D27" s="306" t="inlineStr">
        <is>
          <t>rond</t>
        </is>
      </c>
      <c r="E27" s="306" t="n">
        <v>250</v>
      </c>
      <c r="F27" s="306" t="n">
        <v>6</v>
      </c>
      <c r="G27" s="391" t="n">
        <v>60.9</v>
      </c>
      <c r="H27" s="391" t="n">
        <v>4.3</v>
      </c>
      <c r="I27" s="417" t="n">
        <v>45364</v>
      </c>
      <c r="J27" s="392">
        <f>IFERROR(SUMIFS('SAERTEX-prijstabel'!$E$2:$E$496,'SAERTEX-prijstabel'!$A$2:$A$496,$C27,'SAERTEX-prijstabel'!$B$2:$B$496,$D27,'SAERTEX-prijstabel'!$C$2:$C$496,$E27,'SAERTEX-prijstabel'!$D$2:$D$496,$F27),0)*(1+'SAERTEX 2026'!$B$3)</f>
        <v/>
      </c>
      <c r="K27" s="423">
        <f>IF($B$3&lt;&gt;"ja",0,IF((N($G27)+N($H27))=0,0,IF((N($G27)+N($H27))&lt;15,0.25,IF((N($G27)+N($H27))&lt;=50,0.035,IF((N($G27)+N($H27))&lt;=200,0.025,0.01)))))</f>
        <v/>
      </c>
      <c r="L27" s="392">
        <f>IF($J27=0,0,$G27*$J27*(1+$K27))</f>
        <v/>
      </c>
      <c r="M27" s="392">
        <f>N($H27)*$E$3</f>
        <v/>
      </c>
      <c r="N27" s="398">
        <f>$L27+$M27</f>
        <v/>
      </c>
      <c r="O27" s="401">
        <f>IF($I27="","nog te plannen",IFERROR(LOOKUP($I27,'Periode-overzicht'!$B$25:$B$37,'Periode-overzicht'!$A$25:$A$37),"&lt;P1"))</f>
        <v/>
      </c>
    </row>
    <row r="28">
      <c r="A28" s="306" t="inlineStr">
        <is>
          <t>524</t>
        </is>
      </c>
      <c r="B28" s="388" t="inlineStr">
        <is>
          <t>van rijswijckschans</t>
        </is>
      </c>
      <c r="C28" s="306" t="inlineStr">
        <is>
          <t>S+</t>
        </is>
      </c>
      <c r="D28" s="306" t="inlineStr">
        <is>
          <t>rond</t>
        </is>
      </c>
      <c r="E28" s="306" t="n">
        <v>250</v>
      </c>
      <c r="F28" s="306" t="n">
        <v>6</v>
      </c>
      <c r="G28" s="391" t="n">
        <v>49.2</v>
      </c>
      <c r="H28" s="391" t="n">
        <v>4.5</v>
      </c>
      <c r="I28" s="417" t="n">
        <v>45367</v>
      </c>
      <c r="J28" s="392">
        <f>IFERROR(SUMIFS('SAERTEX-prijstabel'!$E$2:$E$496,'SAERTEX-prijstabel'!$A$2:$A$496,$C28,'SAERTEX-prijstabel'!$B$2:$B$496,$D28,'SAERTEX-prijstabel'!$C$2:$C$496,$E28,'SAERTEX-prijstabel'!$D$2:$D$496,$F28),0)*(1+'SAERTEX 2026'!$B$3)</f>
        <v/>
      </c>
      <c r="K28" s="423">
        <f>IF($B$3&lt;&gt;"ja",0,IF((N($G28)+N($H28))=0,0,IF((N($G28)+N($H28))&lt;15,0.25,IF((N($G28)+N($H28))&lt;=50,0.035,IF((N($G28)+N($H28))&lt;=200,0.025,0.01)))))</f>
        <v/>
      </c>
      <c r="L28" s="392">
        <f>IF($J28=0,0,$G28*$J28*(1+$K28))</f>
        <v/>
      </c>
      <c r="M28" s="392">
        <f>N($H28)*$E$3</f>
        <v/>
      </c>
      <c r="N28" s="398">
        <f>$L28+$M28</f>
        <v/>
      </c>
      <c r="O28" s="401">
        <f>IF($I28="","nog te plannen",IFERROR(LOOKUP($I28,'Periode-overzicht'!$B$25:$B$37,'Periode-overzicht'!$A$25:$A$37),"&lt;P1"))</f>
        <v/>
      </c>
    </row>
    <row r="29">
      <c r="A29" s="306" t="inlineStr">
        <is>
          <t>525</t>
        </is>
      </c>
      <c r="B29" s="388" t="inlineStr">
        <is>
          <t>van rijswijckschans</t>
        </is>
      </c>
      <c r="C29" s="306" t="inlineStr">
        <is>
          <t>S+</t>
        </is>
      </c>
      <c r="D29" s="306" t="inlineStr">
        <is>
          <t>rond</t>
        </is>
      </c>
      <c r="E29" s="306" t="n">
        <v>250</v>
      </c>
      <c r="F29" s="306" t="n">
        <v>6</v>
      </c>
      <c r="G29" s="391" t="n">
        <v>106.1</v>
      </c>
      <c r="H29" s="391" t="n">
        <v>4.5</v>
      </c>
      <c r="I29" s="417" t="n">
        <v>45370</v>
      </c>
      <c r="J29" s="392">
        <f>IFERROR(SUMIFS('SAERTEX-prijstabel'!$E$2:$E$496,'SAERTEX-prijstabel'!$A$2:$A$496,$C29,'SAERTEX-prijstabel'!$B$2:$B$496,$D29,'SAERTEX-prijstabel'!$C$2:$C$496,$E29,'SAERTEX-prijstabel'!$D$2:$D$496,$F29),0)*(1+'SAERTEX 2026'!$B$3)</f>
        <v/>
      </c>
      <c r="K29" s="423">
        <f>IF($B$3&lt;&gt;"ja",0,IF((N($G29)+N($H29))=0,0,IF((N($G29)+N($H29))&lt;15,0.25,IF((N($G29)+N($H29))&lt;=50,0.035,IF((N($G29)+N($H29))&lt;=200,0.025,0.01)))))</f>
        <v/>
      </c>
      <c r="L29" s="392">
        <f>IF($J29=0,0,$G29*$J29*(1+$K29))</f>
        <v/>
      </c>
      <c r="M29" s="392">
        <f>N($H29)*$E$3</f>
        <v/>
      </c>
      <c r="N29" s="398">
        <f>$L29+$M29</f>
        <v/>
      </c>
      <c r="O29" s="401">
        <f>IF($I29="","nog te plannen",IFERROR(LOOKUP($I29,'Periode-overzicht'!$B$25:$B$37,'Periode-overzicht'!$A$25:$A$37),"&lt;P1"))</f>
        <v/>
      </c>
    </row>
    <row r="30">
      <c r="A30" s="306" t="n"/>
      <c r="B30" s="388" t="n"/>
      <c r="C30" s="306" t="n"/>
      <c r="D30" s="306" t="n"/>
      <c r="E30" s="306" t="n"/>
      <c r="F30" s="306" t="n"/>
      <c r="G30" s="391" t="n"/>
      <c r="H30" s="391" t="n"/>
      <c r="I30" s="388" t="n"/>
      <c r="J30" s="392">
        <f>IFERROR(SUMIFS('SAERTEX-prijstabel'!$E$2:$E$496,'SAERTEX-prijstabel'!$A$2:$A$496,$C30,'SAERTEX-prijstabel'!$B$2:$B$496,$D30,'SAERTEX-prijstabel'!$C$2:$C$496,$E30,'SAERTEX-prijstabel'!$D$2:$D$496,$F30),0)*(1+'SAERTEX 2026'!$B$3)</f>
        <v/>
      </c>
      <c r="K30" s="423">
        <f>IF($B$3&lt;&gt;"ja",0,IF((N($G30)+N($H30))=0,0,IF((N($G30)+N($H30))&lt;15,0.25,IF((N($G30)+N($H30))&lt;=50,0.035,IF((N($G30)+N($H30))&lt;=200,0.025,0.01)))))</f>
        <v/>
      </c>
      <c r="L30" s="392">
        <f>IF($J30=0,0,$G30*$J30*(1+$K30))</f>
        <v/>
      </c>
      <c r="M30" s="392">
        <f>N($H30)*$E$3</f>
        <v/>
      </c>
      <c r="N30" s="398">
        <f>$L30+$M30</f>
        <v/>
      </c>
      <c r="O30" s="401">
        <f>IF($I30="","nog te plannen",IFERROR(LOOKUP($I30,'Periode-overzicht'!$B$25:$B$37,'Periode-overzicht'!$A$25:$A$37),"&lt;P1"))</f>
        <v/>
      </c>
    </row>
    <row r="31">
      <c r="A31" s="306" t="n"/>
      <c r="B31" s="388" t="n"/>
      <c r="C31" s="306" t="n"/>
      <c r="D31" s="306" t="n"/>
      <c r="E31" s="306" t="n"/>
      <c r="F31" s="306" t="n"/>
      <c r="G31" s="391" t="n"/>
      <c r="H31" s="391" t="n"/>
      <c r="I31" s="388" t="n"/>
      <c r="J31" s="392">
        <f>IFERROR(SUMIFS('SAERTEX-prijstabel'!$E$2:$E$496,'SAERTEX-prijstabel'!$A$2:$A$496,$C31,'SAERTEX-prijstabel'!$B$2:$B$496,$D31,'SAERTEX-prijstabel'!$C$2:$C$496,$E31,'SAERTEX-prijstabel'!$D$2:$D$496,$F31),0)*(1+'SAERTEX 2026'!$B$3)</f>
        <v/>
      </c>
      <c r="K31" s="423">
        <f>IF($B$3&lt;&gt;"ja",0,IF((N($G31)+N($H31))=0,0,IF((N($G31)+N($H31))&lt;15,0.25,IF((N($G31)+N($H31))&lt;=50,0.035,IF((N($G31)+N($H31))&lt;=200,0.025,0.01)))))</f>
        <v/>
      </c>
      <c r="L31" s="392">
        <f>IF($J31=0,0,$G31*$J31*(1+$K31))</f>
        <v/>
      </c>
      <c r="M31" s="392">
        <f>N($H31)*$E$3</f>
        <v/>
      </c>
      <c r="N31" s="398">
        <f>$L31+$M31</f>
        <v/>
      </c>
      <c r="O31" s="401">
        <f>IF($I31="","nog te plannen",IFERROR(LOOKUP($I31,'Periode-overzicht'!$B$25:$B$37,'Periode-overzicht'!$A$25:$A$37),"&lt;P1"))</f>
        <v/>
      </c>
    </row>
    <row r="32">
      <c r="A32" s="306" t="n"/>
      <c r="B32" s="388" t="n"/>
      <c r="C32" s="306" t="n"/>
      <c r="D32" s="306" t="n"/>
      <c r="E32" s="306" t="n"/>
      <c r="F32" s="306" t="n"/>
      <c r="G32" s="391" t="n"/>
      <c r="H32" s="391" t="n"/>
      <c r="I32" s="388" t="n"/>
      <c r="J32" s="392">
        <f>IFERROR(SUMIFS('SAERTEX-prijstabel'!$E$2:$E$496,'SAERTEX-prijstabel'!$A$2:$A$496,$C32,'SAERTEX-prijstabel'!$B$2:$B$496,$D32,'SAERTEX-prijstabel'!$C$2:$C$496,$E32,'SAERTEX-prijstabel'!$D$2:$D$496,$F32),0)*(1+'SAERTEX 2026'!$B$3)</f>
        <v/>
      </c>
      <c r="K32" s="423">
        <f>IF($B$3&lt;&gt;"ja",0,IF((N($G32)+N($H32))=0,0,IF((N($G32)+N($H32))&lt;15,0.25,IF((N($G32)+N($H32))&lt;=50,0.035,IF((N($G32)+N($H32))&lt;=200,0.025,0.01)))))</f>
        <v/>
      </c>
      <c r="L32" s="392">
        <f>IF($J32=0,0,$G32*$J32*(1+$K32))</f>
        <v/>
      </c>
      <c r="M32" s="392">
        <f>N($H32)*$E$3</f>
        <v/>
      </c>
      <c r="N32" s="398">
        <f>$L32+$M32</f>
        <v/>
      </c>
      <c r="O32" s="401">
        <f>IF($I32="","nog te plannen",IFERROR(LOOKUP($I32,'Periode-overzicht'!$B$25:$B$37,'Periode-overzicht'!$A$25:$A$37),"&lt;P1"))</f>
        <v/>
      </c>
    </row>
    <row r="33">
      <c r="A33" s="306" t="n"/>
      <c r="B33" s="388" t="n"/>
      <c r="C33" s="306" t="n"/>
      <c r="D33" s="306" t="n"/>
      <c r="E33" s="306" t="n"/>
      <c r="F33" s="306" t="n"/>
      <c r="G33" s="391" t="n"/>
      <c r="H33" s="391" t="n"/>
      <c r="I33" s="388" t="n"/>
      <c r="J33" s="392">
        <f>IFERROR(SUMIFS('SAERTEX-prijstabel'!$E$2:$E$496,'SAERTEX-prijstabel'!$A$2:$A$496,$C33,'SAERTEX-prijstabel'!$B$2:$B$496,$D33,'SAERTEX-prijstabel'!$C$2:$C$496,$E33,'SAERTEX-prijstabel'!$D$2:$D$496,$F33),0)*(1+'SAERTEX 2026'!$B$3)</f>
        <v/>
      </c>
      <c r="K33" s="423">
        <f>IF($B$3&lt;&gt;"ja",0,IF((N($G33)+N($H33))=0,0,IF((N($G33)+N($H33))&lt;15,0.25,IF((N($G33)+N($H33))&lt;=50,0.035,IF((N($G33)+N($H33))&lt;=200,0.025,0.01)))))</f>
        <v/>
      </c>
      <c r="L33" s="392">
        <f>IF($J33=0,0,$G33*$J33*(1+$K33))</f>
        <v/>
      </c>
      <c r="M33" s="392">
        <f>N($H33)*$E$3</f>
        <v/>
      </c>
      <c r="N33" s="398">
        <f>$L33+$M33</f>
        <v/>
      </c>
      <c r="O33" s="401">
        <f>IF($I33="","nog te plannen",IFERROR(LOOKUP($I33,'Periode-overzicht'!$B$25:$B$37,'Periode-overzicht'!$A$25:$A$37),"&lt;P1"))</f>
        <v/>
      </c>
    </row>
    <row r="34">
      <c r="A34" s="306" t="n"/>
      <c r="B34" s="388" t="n"/>
      <c r="C34" s="306" t="n"/>
      <c r="D34" s="306" t="n"/>
      <c r="E34" s="306" t="n"/>
      <c r="F34" s="306" t="n"/>
      <c r="G34" s="391" t="n"/>
      <c r="H34" s="391" t="n"/>
      <c r="I34" s="388" t="n"/>
      <c r="J34" s="392">
        <f>IFERROR(SUMIFS('SAERTEX-prijstabel'!$E$2:$E$496,'SAERTEX-prijstabel'!$A$2:$A$496,$C34,'SAERTEX-prijstabel'!$B$2:$B$496,$D34,'SAERTEX-prijstabel'!$C$2:$C$496,$E34,'SAERTEX-prijstabel'!$D$2:$D$496,$F34),0)*(1+'SAERTEX 2026'!$B$3)</f>
        <v/>
      </c>
      <c r="K34" s="423">
        <f>IF($B$3&lt;&gt;"ja",0,IF((N($G34)+N($H34))=0,0,IF((N($G34)+N($H34))&lt;15,0.25,IF((N($G34)+N($H34))&lt;=50,0.035,IF((N($G34)+N($H34))&lt;=200,0.025,0.01)))))</f>
        <v/>
      </c>
      <c r="L34" s="392">
        <f>IF($J34=0,0,$G34*$J34*(1+$K34))</f>
        <v/>
      </c>
      <c r="M34" s="392">
        <f>N($H34)*$E$3</f>
        <v/>
      </c>
      <c r="N34" s="398">
        <f>$L34+$M34</f>
        <v/>
      </c>
      <c r="O34" s="401">
        <f>IF($I34="","nog te plannen",IFERROR(LOOKUP($I34,'Periode-overzicht'!$B$25:$B$37,'Periode-overzicht'!$A$25:$A$37),"&lt;P1"))</f>
        <v/>
      </c>
    </row>
    <row r="35">
      <c r="A35" s="306" t="n"/>
      <c r="B35" s="388" t="n"/>
      <c r="C35" s="306" t="n"/>
      <c r="D35" s="306" t="n"/>
      <c r="E35" s="306" t="n"/>
      <c r="F35" s="306" t="n"/>
      <c r="G35" s="391" t="n"/>
      <c r="H35" s="391" t="n"/>
      <c r="I35" s="388" t="n"/>
      <c r="J35" s="392">
        <f>IFERROR(SUMIFS('SAERTEX-prijstabel'!$E$2:$E$496,'SAERTEX-prijstabel'!$A$2:$A$496,$C35,'SAERTEX-prijstabel'!$B$2:$B$496,$D35,'SAERTEX-prijstabel'!$C$2:$C$496,$E35,'SAERTEX-prijstabel'!$D$2:$D$496,$F35),0)*(1+'SAERTEX 2026'!$B$3)</f>
        <v/>
      </c>
      <c r="K35" s="423">
        <f>IF($B$3&lt;&gt;"ja",0,IF((N($G35)+N($H35))=0,0,IF((N($G35)+N($H35))&lt;15,0.25,IF((N($G35)+N($H35))&lt;=50,0.035,IF((N($G35)+N($H35))&lt;=200,0.025,0.01)))))</f>
        <v/>
      </c>
      <c r="L35" s="392">
        <f>IF($J35=0,0,$G35*$J35*(1+$K35))</f>
        <v/>
      </c>
      <c r="M35" s="392">
        <f>N($H35)*$E$3</f>
        <v/>
      </c>
      <c r="N35" s="398">
        <f>$L35+$M35</f>
        <v/>
      </c>
      <c r="O35" s="401">
        <f>IF($I35="","nog te plannen",IFERROR(LOOKUP($I35,'Periode-overzicht'!$B$25:$B$37,'Periode-overzicht'!$A$25:$A$37),"&lt;P1"))</f>
        <v/>
      </c>
    </row>
    <row r="36">
      <c r="A36" s="306" t="n"/>
      <c r="B36" s="388" t="n"/>
      <c r="C36" s="306" t="n"/>
      <c r="D36" s="306" t="n"/>
      <c r="E36" s="306" t="n"/>
      <c r="F36" s="306" t="n"/>
      <c r="G36" s="391" t="n"/>
      <c r="H36" s="391" t="n"/>
      <c r="I36" s="388" t="n"/>
      <c r="J36" s="392">
        <f>IFERROR(SUMIFS('SAERTEX-prijstabel'!$E$2:$E$496,'SAERTEX-prijstabel'!$A$2:$A$496,$C36,'SAERTEX-prijstabel'!$B$2:$B$496,$D36,'SAERTEX-prijstabel'!$C$2:$C$496,$E36,'SAERTEX-prijstabel'!$D$2:$D$496,$F36),0)*(1+'SAERTEX 2026'!$B$3)</f>
        <v/>
      </c>
      <c r="K36" s="423">
        <f>IF($B$3&lt;&gt;"ja",0,IF((N($G36)+N($H36))=0,0,IF((N($G36)+N($H36))&lt;15,0.25,IF((N($G36)+N($H36))&lt;=50,0.035,IF((N($G36)+N($H36))&lt;=200,0.025,0.01)))))</f>
        <v/>
      </c>
      <c r="L36" s="392">
        <f>IF($J36=0,0,$G36*$J36*(1+$K36))</f>
        <v/>
      </c>
      <c r="M36" s="392">
        <f>N($H36)*$E$3</f>
        <v/>
      </c>
      <c r="N36" s="398">
        <f>$L36+$M36</f>
        <v/>
      </c>
      <c r="O36" s="401">
        <f>IF($I36="","nog te plannen",IFERROR(LOOKUP($I36,'Periode-overzicht'!$B$25:$B$37,'Periode-overzicht'!$A$25:$A$37),"&lt;P1"))</f>
        <v/>
      </c>
    </row>
    <row r="37">
      <c r="A37" s="306" t="n"/>
      <c r="B37" s="388" t="n"/>
      <c r="C37" s="306" t="n"/>
      <c r="D37" s="306" t="n"/>
      <c r="E37" s="306" t="n"/>
      <c r="F37" s="306" t="n"/>
      <c r="G37" s="391" t="n"/>
      <c r="H37" s="391" t="n"/>
      <c r="I37" s="388" t="n"/>
      <c r="J37" s="392">
        <f>IFERROR(SUMIFS('SAERTEX-prijstabel'!$E$2:$E$496,'SAERTEX-prijstabel'!$A$2:$A$496,$C37,'SAERTEX-prijstabel'!$B$2:$B$496,$D37,'SAERTEX-prijstabel'!$C$2:$C$496,$E37,'SAERTEX-prijstabel'!$D$2:$D$496,$F37),0)*(1+'SAERTEX 2026'!$B$3)</f>
        <v/>
      </c>
      <c r="K37" s="423">
        <f>IF($B$3&lt;&gt;"ja",0,IF((N($G37)+N($H37))=0,0,IF((N($G37)+N($H37))&lt;15,0.25,IF((N($G37)+N($H37))&lt;=50,0.035,IF((N($G37)+N($H37))&lt;=200,0.025,0.01)))))</f>
        <v/>
      </c>
      <c r="L37" s="392">
        <f>IF($J37=0,0,$G37*$J37*(1+$K37))</f>
        <v/>
      </c>
      <c r="M37" s="392">
        <f>N($H37)*$E$3</f>
        <v/>
      </c>
      <c r="N37" s="398">
        <f>$L37+$M37</f>
        <v/>
      </c>
      <c r="O37" s="401">
        <f>IF($I37="","nog te plannen",IFERROR(LOOKUP($I37,'Periode-overzicht'!$B$25:$B$37,'Periode-overzicht'!$A$25:$A$37),"&lt;P1"))</f>
        <v/>
      </c>
    </row>
    <row r="38">
      <c r="A38" s="306" t="n"/>
      <c r="B38" s="388" t="n"/>
      <c r="C38" s="306" t="n"/>
      <c r="D38" s="306" t="n"/>
      <c r="E38" s="306" t="n"/>
      <c r="F38" s="306" t="n"/>
      <c r="G38" s="391" t="n"/>
      <c r="H38" s="391" t="n"/>
      <c r="I38" s="388" t="n"/>
      <c r="J38" s="392">
        <f>IFERROR(SUMIFS('SAERTEX-prijstabel'!$E$2:$E$496,'SAERTEX-prijstabel'!$A$2:$A$496,$C38,'SAERTEX-prijstabel'!$B$2:$B$496,$D38,'SAERTEX-prijstabel'!$C$2:$C$496,$E38,'SAERTEX-prijstabel'!$D$2:$D$496,$F38),0)*(1+'SAERTEX 2026'!$B$3)</f>
        <v/>
      </c>
      <c r="K38" s="423">
        <f>IF($B$3&lt;&gt;"ja",0,IF((N($G38)+N($H38))=0,0,IF((N($G38)+N($H38))&lt;15,0.25,IF((N($G38)+N($H38))&lt;=50,0.035,IF((N($G38)+N($H38))&lt;=200,0.025,0.01)))))</f>
        <v/>
      </c>
      <c r="L38" s="392">
        <f>IF($J38=0,0,$G38*$J38*(1+$K38))</f>
        <v/>
      </c>
      <c r="M38" s="392">
        <f>N($H38)*$E$3</f>
        <v/>
      </c>
      <c r="N38" s="398">
        <f>$L38+$M38</f>
        <v/>
      </c>
      <c r="O38" s="401">
        <f>IF($I38="","nog te plannen",IFERROR(LOOKUP($I38,'Periode-overzicht'!$B$25:$B$37,'Periode-overzicht'!$A$25:$A$37),"&lt;P1"))</f>
        <v/>
      </c>
    </row>
    <row r="39">
      <c r="A39" s="306" t="n"/>
      <c r="B39" s="388" t="n"/>
      <c r="C39" s="306" t="n"/>
      <c r="D39" s="306" t="n"/>
      <c r="E39" s="306" t="n"/>
      <c r="F39" s="306" t="n"/>
      <c r="G39" s="391" t="n"/>
      <c r="H39" s="391" t="n"/>
      <c r="I39" s="388" t="n"/>
      <c r="J39" s="392">
        <f>IFERROR(SUMIFS('SAERTEX-prijstabel'!$E$2:$E$496,'SAERTEX-prijstabel'!$A$2:$A$496,$C39,'SAERTEX-prijstabel'!$B$2:$B$496,$D39,'SAERTEX-prijstabel'!$C$2:$C$496,$E39,'SAERTEX-prijstabel'!$D$2:$D$496,$F39),0)*(1+'SAERTEX 2026'!$B$3)</f>
        <v/>
      </c>
      <c r="K39" s="423">
        <f>IF($B$3&lt;&gt;"ja",0,IF((N($G39)+N($H39))=0,0,IF((N($G39)+N($H39))&lt;15,0.25,IF((N($G39)+N($H39))&lt;=50,0.035,IF((N($G39)+N($H39))&lt;=200,0.025,0.01)))))</f>
        <v/>
      </c>
      <c r="L39" s="392">
        <f>IF($J39=0,0,$G39*$J39*(1+$K39))</f>
        <v/>
      </c>
      <c r="M39" s="392">
        <f>N($H39)*$E$3</f>
        <v/>
      </c>
      <c r="N39" s="398">
        <f>$L39+$M39</f>
        <v/>
      </c>
      <c r="O39" s="401">
        <f>IF($I39="","nog te plannen",IFERROR(LOOKUP($I39,'Periode-overzicht'!$B$25:$B$37,'Periode-overzicht'!$A$25:$A$37),"&lt;P1"))</f>
        <v/>
      </c>
    </row>
    <row r="40">
      <c r="A40" s="306" t="n"/>
      <c r="B40" s="388" t="n"/>
      <c r="C40" s="306" t="n"/>
      <c r="D40" s="306" t="n"/>
      <c r="E40" s="306" t="n"/>
      <c r="F40" s="306" t="n"/>
      <c r="G40" s="391" t="n"/>
      <c r="H40" s="391" t="n"/>
      <c r="I40" s="388" t="n"/>
      <c r="J40" s="392">
        <f>IFERROR(SUMIFS('SAERTEX-prijstabel'!$E$2:$E$496,'SAERTEX-prijstabel'!$A$2:$A$496,$C40,'SAERTEX-prijstabel'!$B$2:$B$496,$D40,'SAERTEX-prijstabel'!$C$2:$C$496,$E40,'SAERTEX-prijstabel'!$D$2:$D$496,$F40),0)*(1+'SAERTEX 2026'!$B$3)</f>
        <v/>
      </c>
      <c r="K40" s="423">
        <f>IF($B$3&lt;&gt;"ja",0,IF((N($G40)+N($H40))=0,0,IF((N($G40)+N($H40))&lt;15,0.25,IF((N($G40)+N($H40))&lt;=50,0.035,IF((N($G40)+N($H40))&lt;=200,0.025,0.01)))))</f>
        <v/>
      </c>
      <c r="L40" s="392">
        <f>IF($J40=0,0,$G40*$J40*(1+$K40))</f>
        <v/>
      </c>
      <c r="M40" s="392">
        <f>N($H40)*$E$3</f>
        <v/>
      </c>
      <c r="N40" s="398">
        <f>$L40+$M40</f>
        <v/>
      </c>
      <c r="O40" s="401">
        <f>IF($I40="","nog te plannen",IFERROR(LOOKUP($I40,'Periode-overzicht'!$B$25:$B$37,'Periode-overzicht'!$A$25:$A$37),"&lt;P1"))</f>
        <v/>
      </c>
    </row>
    <row r="41">
      <c r="A41" s="306" t="n"/>
      <c r="B41" s="388" t="n"/>
      <c r="C41" s="306" t="n"/>
      <c r="D41" s="306" t="n"/>
      <c r="E41" s="306" t="n"/>
      <c r="F41" s="306" t="n"/>
      <c r="G41" s="391" t="n"/>
      <c r="H41" s="391" t="n"/>
      <c r="I41" s="388" t="n"/>
      <c r="J41" s="392">
        <f>IFERROR(SUMIFS('SAERTEX-prijstabel'!$E$2:$E$496,'SAERTEX-prijstabel'!$A$2:$A$496,$C41,'SAERTEX-prijstabel'!$B$2:$B$496,$D41,'SAERTEX-prijstabel'!$C$2:$C$496,$E41,'SAERTEX-prijstabel'!$D$2:$D$496,$F41),0)*(1+'SAERTEX 2026'!$B$3)</f>
        <v/>
      </c>
      <c r="K41" s="423">
        <f>IF($B$3&lt;&gt;"ja",0,IF((N($G41)+N($H41))=0,0,IF((N($G41)+N($H41))&lt;15,0.25,IF((N($G41)+N($H41))&lt;=50,0.035,IF((N($G41)+N($H41))&lt;=200,0.025,0.01)))))</f>
        <v/>
      </c>
      <c r="L41" s="392">
        <f>IF($J41=0,0,$G41*$J41*(1+$K41))</f>
        <v/>
      </c>
      <c r="M41" s="392">
        <f>N($H41)*$E$3</f>
        <v/>
      </c>
      <c r="N41" s="398">
        <f>$L41+$M41</f>
        <v/>
      </c>
      <c r="O41" s="401">
        <f>IF($I41="","nog te plannen",IFERROR(LOOKUP($I41,'Periode-overzicht'!$B$25:$B$37,'Periode-overzicht'!$A$25:$A$37),"&lt;P1"))</f>
        <v/>
      </c>
    </row>
    <row r="42">
      <c r="A42" s="306" t="n"/>
      <c r="B42" s="388" t="n"/>
      <c r="C42" s="306" t="n"/>
      <c r="D42" s="306" t="n"/>
      <c r="E42" s="306" t="n"/>
      <c r="F42" s="306" t="n"/>
      <c r="G42" s="391" t="n"/>
      <c r="H42" s="391" t="n"/>
      <c r="I42" s="388" t="n"/>
      <c r="J42" s="392">
        <f>IFERROR(SUMIFS('SAERTEX-prijstabel'!$E$2:$E$496,'SAERTEX-prijstabel'!$A$2:$A$496,$C42,'SAERTEX-prijstabel'!$B$2:$B$496,$D42,'SAERTEX-prijstabel'!$C$2:$C$496,$E42,'SAERTEX-prijstabel'!$D$2:$D$496,$F42),0)*(1+'SAERTEX 2026'!$B$3)</f>
        <v/>
      </c>
      <c r="K42" s="423">
        <f>IF($B$3&lt;&gt;"ja",0,IF((N($G42)+N($H42))=0,0,IF((N($G42)+N($H42))&lt;15,0.25,IF((N($G42)+N($H42))&lt;=50,0.035,IF((N($G42)+N($H42))&lt;=200,0.025,0.01)))))</f>
        <v/>
      </c>
      <c r="L42" s="392">
        <f>IF($J42=0,0,$G42*$J42*(1+$K42))</f>
        <v/>
      </c>
      <c r="M42" s="392">
        <f>N($H42)*$E$3</f>
        <v/>
      </c>
      <c r="N42" s="398">
        <f>$L42+$M42</f>
        <v/>
      </c>
      <c r="O42" s="401">
        <f>IF($I42="","nog te plannen",IFERROR(LOOKUP($I42,'Periode-overzicht'!$B$25:$B$37,'Periode-overzicht'!$A$25:$A$37),"&lt;P1"))</f>
        <v/>
      </c>
    </row>
    <row r="43">
      <c r="A43" s="306" t="n"/>
      <c r="B43" s="388" t="n"/>
      <c r="C43" s="306" t="n"/>
      <c r="D43" s="306" t="n"/>
      <c r="E43" s="306" t="n"/>
      <c r="F43" s="306" t="n"/>
      <c r="G43" s="391" t="n"/>
      <c r="H43" s="391" t="n"/>
      <c r="I43" s="388" t="n"/>
      <c r="J43" s="392">
        <f>IFERROR(SUMIFS('SAERTEX-prijstabel'!$E$2:$E$496,'SAERTEX-prijstabel'!$A$2:$A$496,$C43,'SAERTEX-prijstabel'!$B$2:$B$496,$D43,'SAERTEX-prijstabel'!$C$2:$C$496,$E43,'SAERTEX-prijstabel'!$D$2:$D$496,$F43),0)*(1+'SAERTEX 2026'!$B$3)</f>
        <v/>
      </c>
      <c r="K43" s="423">
        <f>IF($B$3&lt;&gt;"ja",0,IF((N($G43)+N($H43))=0,0,IF((N($G43)+N($H43))&lt;15,0.25,IF((N($G43)+N($H43))&lt;=50,0.035,IF((N($G43)+N($H43))&lt;=200,0.025,0.01)))))</f>
        <v/>
      </c>
      <c r="L43" s="392">
        <f>IF($J43=0,0,$G43*$J43*(1+$K43))</f>
        <v/>
      </c>
      <c r="M43" s="392">
        <f>N($H43)*$E$3</f>
        <v/>
      </c>
      <c r="N43" s="398">
        <f>$L43+$M43</f>
        <v/>
      </c>
      <c r="O43" s="401">
        <f>IF($I43="","nog te plannen",IFERROR(LOOKUP($I43,'Periode-overzicht'!$B$25:$B$37,'Periode-overzicht'!$A$25:$A$37),"&lt;P1"))</f>
        <v/>
      </c>
    </row>
    <row r="44">
      <c r="A44" s="306" t="n"/>
      <c r="B44" s="388" t="n"/>
      <c r="C44" s="306" t="n"/>
      <c r="D44" s="306" t="n"/>
      <c r="E44" s="306" t="n"/>
      <c r="F44" s="306" t="n"/>
      <c r="G44" s="391" t="n"/>
      <c r="H44" s="391" t="n"/>
      <c r="I44" s="388" t="n"/>
      <c r="J44" s="392">
        <f>IFERROR(SUMIFS('SAERTEX-prijstabel'!$E$2:$E$496,'SAERTEX-prijstabel'!$A$2:$A$496,$C44,'SAERTEX-prijstabel'!$B$2:$B$496,$D44,'SAERTEX-prijstabel'!$C$2:$C$496,$E44,'SAERTEX-prijstabel'!$D$2:$D$496,$F44),0)*(1+'SAERTEX 2026'!$B$3)</f>
        <v/>
      </c>
      <c r="K44" s="423">
        <f>IF($B$3&lt;&gt;"ja",0,IF((N($G44)+N($H44))=0,0,IF((N($G44)+N($H44))&lt;15,0.25,IF((N($G44)+N($H44))&lt;=50,0.035,IF((N($G44)+N($H44))&lt;=200,0.025,0.01)))))</f>
        <v/>
      </c>
      <c r="L44" s="392">
        <f>IF($J44=0,0,$G44*$J44*(1+$K44))</f>
        <v/>
      </c>
      <c r="M44" s="392">
        <f>N($H44)*$E$3</f>
        <v/>
      </c>
      <c r="N44" s="398">
        <f>$L44+$M44</f>
        <v/>
      </c>
      <c r="O44" s="401">
        <f>IF($I44="","nog te plannen",IFERROR(LOOKUP($I44,'Periode-overzicht'!$B$25:$B$37,'Periode-overzicht'!$A$25:$A$37),"&lt;P1"))</f>
        <v/>
      </c>
    </row>
    <row r="45">
      <c r="A45" s="306" t="n"/>
      <c r="B45" s="388" t="n"/>
      <c r="C45" s="306" t="n"/>
      <c r="D45" s="306" t="n"/>
      <c r="E45" s="306" t="n"/>
      <c r="F45" s="306" t="n"/>
      <c r="G45" s="391" t="n"/>
      <c r="H45" s="391" t="n"/>
      <c r="I45" s="388" t="n"/>
      <c r="J45" s="392">
        <f>IFERROR(SUMIFS('SAERTEX-prijstabel'!$E$2:$E$496,'SAERTEX-prijstabel'!$A$2:$A$496,$C45,'SAERTEX-prijstabel'!$B$2:$B$496,$D45,'SAERTEX-prijstabel'!$C$2:$C$496,$E45,'SAERTEX-prijstabel'!$D$2:$D$496,$F45),0)*(1+'SAERTEX 2026'!$B$3)</f>
        <v/>
      </c>
      <c r="K45" s="423">
        <f>IF($B$3&lt;&gt;"ja",0,IF((N($G45)+N($H45))=0,0,IF((N($G45)+N($H45))&lt;15,0.25,IF((N($G45)+N($H45))&lt;=50,0.035,IF((N($G45)+N($H45))&lt;=200,0.025,0.01)))))</f>
        <v/>
      </c>
      <c r="L45" s="392">
        <f>IF($J45=0,0,$G45*$J45*(1+$K45))</f>
        <v/>
      </c>
      <c r="M45" s="392">
        <f>N($H45)*$E$3</f>
        <v/>
      </c>
      <c r="N45" s="398">
        <f>$L45+$M45</f>
        <v/>
      </c>
      <c r="O45" s="401">
        <f>IF($I45="","nog te plannen",IFERROR(LOOKUP($I45,'Periode-overzicht'!$B$25:$B$37,'Periode-overzicht'!$A$25:$A$37),"&lt;P1"))</f>
        <v/>
      </c>
    </row>
    <row r="46">
      <c r="A46" s="306" t="n"/>
      <c r="B46" s="388" t="n"/>
      <c r="C46" s="306" t="n"/>
      <c r="D46" s="306" t="n"/>
      <c r="E46" s="306" t="n"/>
      <c r="F46" s="306" t="n"/>
      <c r="G46" s="391" t="n"/>
      <c r="H46" s="391" t="n"/>
      <c r="I46" s="388" t="n"/>
      <c r="J46" s="392">
        <f>IFERROR(SUMIFS('SAERTEX-prijstabel'!$E$2:$E$496,'SAERTEX-prijstabel'!$A$2:$A$496,$C46,'SAERTEX-prijstabel'!$B$2:$B$496,$D46,'SAERTEX-prijstabel'!$C$2:$C$496,$E46,'SAERTEX-prijstabel'!$D$2:$D$496,$F46),0)*(1+'SAERTEX 2026'!$B$3)</f>
        <v/>
      </c>
      <c r="K46" s="423">
        <f>IF($B$3&lt;&gt;"ja",0,IF((N($G46)+N($H46))=0,0,IF((N($G46)+N($H46))&lt;15,0.25,IF((N($G46)+N($H46))&lt;=50,0.035,IF((N($G46)+N($H46))&lt;=200,0.025,0.01)))))</f>
        <v/>
      </c>
      <c r="L46" s="392">
        <f>IF($J46=0,0,$G46*$J46*(1+$K46))</f>
        <v/>
      </c>
      <c r="M46" s="392">
        <f>N($H46)*$E$3</f>
        <v/>
      </c>
      <c r="N46" s="398">
        <f>$L46+$M46</f>
        <v/>
      </c>
      <c r="O46" s="401">
        <f>IF($I46="","nog te plannen",IFERROR(LOOKUP($I46,'Periode-overzicht'!$B$25:$B$37,'Periode-overzicht'!$A$25:$A$37),"&lt;P1"))</f>
        <v/>
      </c>
    </row>
    <row r="47">
      <c r="A47" s="306" t="n"/>
      <c r="B47" s="388" t="n"/>
      <c r="C47" s="306" t="n"/>
      <c r="D47" s="306" t="n"/>
      <c r="E47" s="306" t="n"/>
      <c r="F47" s="306" t="n"/>
      <c r="G47" s="391" t="n"/>
      <c r="H47" s="391" t="n"/>
      <c r="I47" s="388" t="n"/>
      <c r="J47" s="392">
        <f>IFERROR(SUMIFS('SAERTEX-prijstabel'!$E$2:$E$496,'SAERTEX-prijstabel'!$A$2:$A$496,$C47,'SAERTEX-prijstabel'!$B$2:$B$496,$D47,'SAERTEX-prijstabel'!$C$2:$C$496,$E47,'SAERTEX-prijstabel'!$D$2:$D$496,$F47),0)*(1+'SAERTEX 2026'!$B$3)</f>
        <v/>
      </c>
      <c r="K47" s="423">
        <f>IF($B$3&lt;&gt;"ja",0,IF((N($G47)+N($H47))=0,0,IF((N($G47)+N($H47))&lt;15,0.25,IF((N($G47)+N($H47))&lt;=50,0.035,IF((N($G47)+N($H47))&lt;=200,0.025,0.01)))))</f>
        <v/>
      </c>
      <c r="L47" s="392">
        <f>IF($J47=0,0,$G47*$J47*(1+$K47))</f>
        <v/>
      </c>
      <c r="M47" s="392">
        <f>N($H47)*$E$3</f>
        <v/>
      </c>
      <c r="N47" s="398">
        <f>$L47+$M47</f>
        <v/>
      </c>
      <c r="O47" s="401">
        <f>IF($I47="","nog te plannen",IFERROR(LOOKUP($I47,'Periode-overzicht'!$B$25:$B$37,'Periode-overzicht'!$A$25:$A$37),"&lt;P1"))</f>
        <v/>
      </c>
    </row>
    <row r="48">
      <c r="A48" s="306" t="n"/>
      <c r="B48" s="388" t="n"/>
      <c r="C48" s="306" t="n"/>
      <c r="D48" s="306" t="n"/>
      <c r="E48" s="306" t="n"/>
      <c r="F48" s="306" t="n"/>
      <c r="G48" s="391" t="n"/>
      <c r="H48" s="391" t="n"/>
      <c r="I48" s="388" t="n"/>
      <c r="J48" s="392">
        <f>IFERROR(SUMIFS('SAERTEX-prijstabel'!$E$2:$E$496,'SAERTEX-prijstabel'!$A$2:$A$496,$C48,'SAERTEX-prijstabel'!$B$2:$B$496,$D48,'SAERTEX-prijstabel'!$C$2:$C$496,$E48,'SAERTEX-prijstabel'!$D$2:$D$496,$F48),0)*(1+'SAERTEX 2026'!$B$3)</f>
        <v/>
      </c>
      <c r="K48" s="423">
        <f>IF($B$3&lt;&gt;"ja",0,IF((N($G48)+N($H48))=0,0,IF((N($G48)+N($H48))&lt;15,0.25,IF((N($G48)+N($H48))&lt;=50,0.035,IF((N($G48)+N($H48))&lt;=200,0.025,0.01)))))</f>
        <v/>
      </c>
      <c r="L48" s="392">
        <f>IF($J48=0,0,$G48*$J48*(1+$K48))</f>
        <v/>
      </c>
      <c r="M48" s="392">
        <f>N($H48)*$E$3</f>
        <v/>
      </c>
      <c r="N48" s="398">
        <f>$L48+$M48</f>
        <v/>
      </c>
      <c r="O48" s="401">
        <f>IF($I48="","nog te plannen",IFERROR(LOOKUP($I48,'Periode-overzicht'!$B$25:$B$37,'Periode-overzicht'!$A$25:$A$37),"&lt;P1"))</f>
        <v/>
      </c>
    </row>
    <row r="49">
      <c r="A49" s="306" t="n"/>
      <c r="B49" s="388" t="n"/>
      <c r="C49" s="306" t="n"/>
      <c r="D49" s="306" t="n"/>
      <c r="E49" s="306" t="n"/>
      <c r="F49" s="306" t="n"/>
      <c r="G49" s="391" t="n"/>
      <c r="H49" s="391" t="n"/>
      <c r="I49" s="388" t="n"/>
      <c r="J49" s="392">
        <f>IFERROR(SUMIFS('SAERTEX-prijstabel'!$E$2:$E$496,'SAERTEX-prijstabel'!$A$2:$A$496,$C49,'SAERTEX-prijstabel'!$B$2:$B$496,$D49,'SAERTEX-prijstabel'!$C$2:$C$496,$E49,'SAERTEX-prijstabel'!$D$2:$D$496,$F49),0)*(1+'SAERTEX 2026'!$B$3)</f>
        <v/>
      </c>
      <c r="K49" s="423">
        <f>IF($B$3&lt;&gt;"ja",0,IF((N($G49)+N($H49))=0,0,IF((N($G49)+N($H49))&lt;15,0.25,IF((N($G49)+N($H49))&lt;=50,0.035,IF((N($G49)+N($H49))&lt;=200,0.025,0.01)))))</f>
        <v/>
      </c>
      <c r="L49" s="392">
        <f>IF($J49=0,0,$G49*$J49*(1+$K49))</f>
        <v/>
      </c>
      <c r="M49" s="392">
        <f>N($H49)*$E$3</f>
        <v/>
      </c>
      <c r="N49" s="398">
        <f>$L49+$M49</f>
        <v/>
      </c>
      <c r="O49" s="401">
        <f>IF($I49="","nog te plannen",IFERROR(LOOKUP($I49,'Periode-overzicht'!$B$25:$B$37,'Periode-overzicht'!$A$25:$A$37),"&lt;P1"))</f>
        <v/>
      </c>
    </row>
    <row r="50">
      <c r="A50" s="306" t="n"/>
      <c r="B50" s="388" t="n"/>
      <c r="C50" s="306" t="n"/>
      <c r="D50" s="306" t="n"/>
      <c r="E50" s="306" t="n"/>
      <c r="F50" s="306" t="n"/>
      <c r="G50" s="391" t="n"/>
      <c r="H50" s="391" t="n"/>
      <c r="I50" s="388" t="n"/>
      <c r="J50" s="392">
        <f>IFERROR(SUMIFS('SAERTEX-prijstabel'!$E$2:$E$496,'SAERTEX-prijstabel'!$A$2:$A$496,$C50,'SAERTEX-prijstabel'!$B$2:$B$496,$D50,'SAERTEX-prijstabel'!$C$2:$C$496,$E50,'SAERTEX-prijstabel'!$D$2:$D$496,$F50),0)*(1+'SAERTEX 2026'!$B$3)</f>
        <v/>
      </c>
      <c r="K50" s="423">
        <f>IF($B$3&lt;&gt;"ja",0,IF((N($G50)+N($H50))=0,0,IF((N($G50)+N($H50))&lt;15,0.25,IF((N($G50)+N($H50))&lt;=50,0.035,IF((N($G50)+N($H50))&lt;=200,0.025,0.01)))))</f>
        <v/>
      </c>
      <c r="L50" s="392">
        <f>IF($J50=0,0,$G50*$J50*(1+$K50))</f>
        <v/>
      </c>
      <c r="M50" s="392">
        <f>N($H50)*$E$3</f>
        <v/>
      </c>
      <c r="N50" s="398">
        <f>$L50+$M50</f>
        <v/>
      </c>
      <c r="O50" s="401">
        <f>IF($I50="","nog te plannen",IFERROR(LOOKUP($I50,'Periode-overzicht'!$B$25:$B$37,'Periode-overzicht'!$A$25:$A$37),"&lt;P1"))</f>
        <v/>
      </c>
    </row>
    <row r="51">
      <c r="A51" s="306" t="n"/>
      <c r="B51" s="388" t="n"/>
      <c r="C51" s="306" t="n"/>
      <c r="D51" s="306" t="n"/>
      <c r="E51" s="306" t="n"/>
      <c r="F51" s="306" t="n"/>
      <c r="G51" s="391" t="n"/>
      <c r="H51" s="391" t="n"/>
      <c r="I51" s="388" t="n"/>
      <c r="J51" s="392">
        <f>IFERROR(SUMIFS('SAERTEX-prijstabel'!$E$2:$E$496,'SAERTEX-prijstabel'!$A$2:$A$496,$C51,'SAERTEX-prijstabel'!$B$2:$B$496,$D51,'SAERTEX-prijstabel'!$C$2:$C$496,$E51,'SAERTEX-prijstabel'!$D$2:$D$496,$F51),0)*(1+'SAERTEX 2026'!$B$3)</f>
        <v/>
      </c>
      <c r="K51" s="423">
        <f>IF($B$3&lt;&gt;"ja",0,IF((N($G51)+N($H51))=0,0,IF((N($G51)+N($H51))&lt;15,0.25,IF((N($G51)+N($H51))&lt;=50,0.035,IF((N($G51)+N($H51))&lt;=200,0.025,0.01)))))</f>
        <v/>
      </c>
      <c r="L51" s="392">
        <f>IF($J51=0,0,$G51*$J51*(1+$K51))</f>
        <v/>
      </c>
      <c r="M51" s="392">
        <f>N($H51)*$E$3</f>
        <v/>
      </c>
      <c r="N51" s="398">
        <f>$L51+$M51</f>
        <v/>
      </c>
      <c r="O51" s="401">
        <f>IF($I51="","nog te plannen",IFERROR(LOOKUP($I51,'Periode-overzicht'!$B$25:$B$37,'Periode-overzicht'!$A$25:$A$37),"&lt;P1"))</f>
        <v/>
      </c>
    </row>
    <row r="52">
      <c r="A52" s="306" t="n"/>
      <c r="B52" s="388" t="n"/>
      <c r="C52" s="306" t="n"/>
      <c r="D52" s="306" t="n"/>
      <c r="E52" s="306" t="n"/>
      <c r="F52" s="306" t="n"/>
      <c r="G52" s="391" t="n"/>
      <c r="H52" s="391" t="n"/>
      <c r="I52" s="388" t="n"/>
      <c r="J52" s="392">
        <f>IFERROR(SUMIFS('SAERTEX-prijstabel'!$E$2:$E$496,'SAERTEX-prijstabel'!$A$2:$A$496,$C52,'SAERTEX-prijstabel'!$B$2:$B$496,$D52,'SAERTEX-prijstabel'!$C$2:$C$496,$E52,'SAERTEX-prijstabel'!$D$2:$D$496,$F52),0)*(1+'SAERTEX 2026'!$B$3)</f>
        <v/>
      </c>
      <c r="K52" s="423">
        <f>IF($B$3&lt;&gt;"ja",0,IF((N($G52)+N($H52))=0,0,IF((N($G52)+N($H52))&lt;15,0.25,IF((N($G52)+N($H52))&lt;=50,0.035,IF((N($G52)+N($H52))&lt;=200,0.025,0.01)))))</f>
        <v/>
      </c>
      <c r="L52" s="392">
        <f>IF($J52=0,0,$G52*$J52*(1+$K52))</f>
        <v/>
      </c>
      <c r="M52" s="392">
        <f>N($H52)*$E$3</f>
        <v/>
      </c>
      <c r="N52" s="398">
        <f>$L52+$M52</f>
        <v/>
      </c>
      <c r="O52" s="401">
        <f>IF($I52="","nog te plannen",IFERROR(LOOKUP($I52,'Periode-overzicht'!$B$25:$B$37,'Periode-overzicht'!$A$25:$A$37),"&lt;P1"))</f>
        <v/>
      </c>
    </row>
    <row r="53">
      <c r="A53" s="306" t="n"/>
      <c r="B53" s="388" t="n"/>
      <c r="C53" s="306" t="n"/>
      <c r="D53" s="306" t="n"/>
      <c r="E53" s="306" t="n"/>
      <c r="F53" s="306" t="n"/>
      <c r="G53" s="391" t="n"/>
      <c r="H53" s="391" t="n"/>
      <c r="I53" s="388" t="n"/>
      <c r="J53" s="392">
        <f>IFERROR(SUMIFS('SAERTEX-prijstabel'!$E$2:$E$496,'SAERTEX-prijstabel'!$A$2:$A$496,$C53,'SAERTEX-prijstabel'!$B$2:$B$496,$D53,'SAERTEX-prijstabel'!$C$2:$C$496,$E53,'SAERTEX-prijstabel'!$D$2:$D$496,$F53),0)*(1+'SAERTEX 2026'!$B$3)</f>
        <v/>
      </c>
      <c r="K53" s="423">
        <f>IF($B$3&lt;&gt;"ja",0,IF((N($G53)+N($H53))=0,0,IF((N($G53)+N($H53))&lt;15,0.25,IF((N($G53)+N($H53))&lt;=50,0.035,IF((N($G53)+N($H53))&lt;=200,0.025,0.01)))))</f>
        <v/>
      </c>
      <c r="L53" s="392">
        <f>IF($J53=0,0,$G53*$J53*(1+$K53))</f>
        <v/>
      </c>
      <c r="M53" s="392">
        <f>N($H53)*$E$3</f>
        <v/>
      </c>
      <c r="N53" s="398">
        <f>$L53+$M53</f>
        <v/>
      </c>
      <c r="O53" s="401">
        <f>IF($I53="","nog te plannen",IFERROR(LOOKUP($I53,'Periode-overzicht'!$B$25:$B$37,'Periode-overzicht'!$A$25:$A$37),"&lt;P1"))</f>
        <v/>
      </c>
    </row>
    <row r="54">
      <c r="A54" s="306" t="n"/>
      <c r="B54" s="388" t="n"/>
      <c r="C54" s="306" t="n"/>
      <c r="D54" s="306" t="n"/>
      <c r="E54" s="306" t="n"/>
      <c r="F54" s="306" t="n"/>
      <c r="G54" s="391" t="n"/>
      <c r="H54" s="391" t="n"/>
      <c r="I54" s="388" t="n"/>
      <c r="J54" s="392">
        <f>IFERROR(SUMIFS('SAERTEX-prijstabel'!$E$2:$E$496,'SAERTEX-prijstabel'!$A$2:$A$496,$C54,'SAERTEX-prijstabel'!$B$2:$B$496,$D54,'SAERTEX-prijstabel'!$C$2:$C$496,$E54,'SAERTEX-prijstabel'!$D$2:$D$496,$F54),0)*(1+'SAERTEX 2026'!$B$3)</f>
        <v/>
      </c>
      <c r="K54" s="423">
        <f>IF($B$3&lt;&gt;"ja",0,IF((N($G54)+N($H54))=0,0,IF((N($G54)+N($H54))&lt;15,0.25,IF((N($G54)+N($H54))&lt;=50,0.035,IF((N($G54)+N($H54))&lt;=200,0.025,0.01)))))</f>
        <v/>
      </c>
      <c r="L54" s="392">
        <f>IF($J54=0,0,$G54*$J54*(1+$K54))</f>
        <v/>
      </c>
      <c r="M54" s="392">
        <f>N($H54)*$E$3</f>
        <v/>
      </c>
      <c r="N54" s="398">
        <f>$L54+$M54</f>
        <v/>
      </c>
      <c r="O54" s="401">
        <f>IF($I54="","nog te plannen",IFERROR(LOOKUP($I54,'Periode-overzicht'!$B$25:$B$37,'Periode-overzicht'!$A$25:$A$37),"&lt;P1"))</f>
        <v/>
      </c>
    </row>
    <row r="55">
      <c r="A55" s="306" t="n"/>
      <c r="B55" s="388" t="n"/>
      <c r="C55" s="306" t="n"/>
      <c r="D55" s="306" t="n"/>
      <c r="E55" s="306" t="n"/>
      <c r="F55" s="306" t="n"/>
      <c r="G55" s="391" t="n"/>
      <c r="H55" s="391" t="n"/>
      <c r="I55" s="388" t="n"/>
      <c r="J55" s="392">
        <f>IFERROR(SUMIFS('SAERTEX-prijstabel'!$E$2:$E$496,'SAERTEX-prijstabel'!$A$2:$A$496,$C55,'SAERTEX-prijstabel'!$B$2:$B$496,$D55,'SAERTEX-prijstabel'!$C$2:$C$496,$E55,'SAERTEX-prijstabel'!$D$2:$D$496,$F55),0)*(1+'SAERTEX 2026'!$B$3)</f>
        <v/>
      </c>
      <c r="K55" s="423">
        <f>IF($B$3&lt;&gt;"ja",0,IF((N($G55)+N($H55))=0,0,IF((N($G55)+N($H55))&lt;15,0.25,IF((N($G55)+N($H55))&lt;=50,0.035,IF((N($G55)+N($H55))&lt;=200,0.025,0.01)))))</f>
        <v/>
      </c>
      <c r="L55" s="392">
        <f>IF($J55=0,0,$G55*$J55*(1+$K55))</f>
        <v/>
      </c>
      <c r="M55" s="392">
        <f>N($H55)*$E$3</f>
        <v/>
      </c>
      <c r="N55" s="398">
        <f>$L55+$M55</f>
        <v/>
      </c>
      <c r="O55" s="401">
        <f>IF($I55="","nog te plannen",IFERROR(LOOKUP($I55,'Periode-overzicht'!$B$25:$B$37,'Periode-overzicht'!$A$25:$A$37),"&lt;P1"))</f>
        <v/>
      </c>
    </row>
    <row r="56">
      <c r="A56" s="306" t="n"/>
      <c r="B56" s="388" t="n"/>
      <c r="C56" s="306" t="n"/>
      <c r="D56" s="306" t="n"/>
      <c r="E56" s="306" t="n"/>
      <c r="F56" s="306" t="n"/>
      <c r="G56" s="391" t="n"/>
      <c r="H56" s="391" t="n"/>
      <c r="I56" s="388" t="n"/>
      <c r="J56" s="392">
        <f>IFERROR(SUMIFS('SAERTEX-prijstabel'!$E$2:$E$496,'SAERTEX-prijstabel'!$A$2:$A$496,$C56,'SAERTEX-prijstabel'!$B$2:$B$496,$D56,'SAERTEX-prijstabel'!$C$2:$C$496,$E56,'SAERTEX-prijstabel'!$D$2:$D$496,$F56),0)*(1+'SAERTEX 2026'!$B$3)</f>
        <v/>
      </c>
      <c r="K56" s="423">
        <f>IF($B$3&lt;&gt;"ja",0,IF((N($G56)+N($H56))=0,0,IF((N($G56)+N($H56))&lt;15,0.25,IF((N($G56)+N($H56))&lt;=50,0.035,IF((N($G56)+N($H56))&lt;=200,0.025,0.01)))))</f>
        <v/>
      </c>
      <c r="L56" s="392">
        <f>IF($J56=0,0,$G56*$J56*(1+$K56))</f>
        <v/>
      </c>
      <c r="M56" s="392">
        <f>N($H56)*$E$3</f>
        <v/>
      </c>
      <c r="N56" s="398">
        <f>$L56+$M56</f>
        <v/>
      </c>
      <c r="O56" s="401">
        <f>IF($I56="","nog te plannen",IFERROR(LOOKUP($I56,'Periode-overzicht'!$B$25:$B$37,'Periode-overzicht'!$A$25:$A$37),"&lt;P1"))</f>
        <v/>
      </c>
    </row>
    <row r="57">
      <c r="A57" s="306" t="n"/>
      <c r="B57" s="388" t="n"/>
      <c r="C57" s="306" t="n"/>
      <c r="D57" s="306" t="n"/>
      <c r="E57" s="306" t="n"/>
      <c r="F57" s="306" t="n"/>
      <c r="G57" s="391" t="n"/>
      <c r="H57" s="391" t="n"/>
      <c r="I57" s="388" t="n"/>
      <c r="J57" s="392">
        <f>IFERROR(SUMIFS('SAERTEX-prijstabel'!$E$2:$E$496,'SAERTEX-prijstabel'!$A$2:$A$496,$C57,'SAERTEX-prijstabel'!$B$2:$B$496,$D57,'SAERTEX-prijstabel'!$C$2:$C$496,$E57,'SAERTEX-prijstabel'!$D$2:$D$496,$F57),0)*(1+'SAERTEX 2026'!$B$3)</f>
        <v/>
      </c>
      <c r="K57" s="423">
        <f>IF($B$3&lt;&gt;"ja",0,IF((N($G57)+N($H57))=0,0,IF((N($G57)+N($H57))&lt;15,0.25,IF((N($G57)+N($H57))&lt;=50,0.035,IF((N($G57)+N($H57))&lt;=200,0.025,0.01)))))</f>
        <v/>
      </c>
      <c r="L57" s="392">
        <f>IF($J57=0,0,$G57*$J57*(1+$K57))</f>
        <v/>
      </c>
      <c r="M57" s="392">
        <f>N($H57)*$E$3</f>
        <v/>
      </c>
      <c r="N57" s="398">
        <f>$L57+$M57</f>
        <v/>
      </c>
      <c r="O57" s="401">
        <f>IF($I57="","nog te plannen",IFERROR(LOOKUP($I57,'Periode-overzicht'!$B$25:$B$37,'Periode-overzicht'!$A$25:$A$37),"&lt;P1"))</f>
        <v/>
      </c>
    </row>
    <row r="58">
      <c r="A58" s="306" t="n"/>
      <c r="B58" s="388" t="n"/>
      <c r="C58" s="306" t="n"/>
      <c r="D58" s="306" t="n"/>
      <c r="E58" s="306" t="n"/>
      <c r="F58" s="306" t="n"/>
      <c r="G58" s="391" t="n"/>
      <c r="H58" s="391" t="n"/>
      <c r="I58" s="388" t="n"/>
      <c r="J58" s="392">
        <f>IFERROR(SUMIFS('SAERTEX-prijstabel'!$E$2:$E$496,'SAERTEX-prijstabel'!$A$2:$A$496,$C58,'SAERTEX-prijstabel'!$B$2:$B$496,$D58,'SAERTEX-prijstabel'!$C$2:$C$496,$E58,'SAERTEX-prijstabel'!$D$2:$D$496,$F58),0)*(1+'SAERTEX 2026'!$B$3)</f>
        <v/>
      </c>
      <c r="K58" s="423">
        <f>IF($B$3&lt;&gt;"ja",0,IF((N($G58)+N($H58))=0,0,IF((N($G58)+N($H58))&lt;15,0.25,IF((N($G58)+N($H58))&lt;=50,0.035,IF((N($G58)+N($H58))&lt;=200,0.025,0.01)))))</f>
        <v/>
      </c>
      <c r="L58" s="392">
        <f>IF($J58=0,0,$G58*$J58*(1+$K58))</f>
        <v/>
      </c>
      <c r="M58" s="392">
        <f>N($H58)*$E$3</f>
        <v/>
      </c>
      <c r="N58" s="398">
        <f>$L58+$M58</f>
        <v/>
      </c>
      <c r="O58" s="401">
        <f>IF($I58="","nog te plannen",IFERROR(LOOKUP($I58,'Periode-overzicht'!$B$25:$B$37,'Periode-overzicht'!$A$25:$A$37),"&lt;P1"))</f>
        <v/>
      </c>
    </row>
    <row r="59">
      <c r="A59" s="306" t="n"/>
      <c r="B59" s="388" t="n"/>
      <c r="C59" s="306" t="n"/>
      <c r="D59" s="306" t="n"/>
      <c r="E59" s="306" t="n"/>
      <c r="F59" s="306" t="n"/>
      <c r="G59" s="391" t="n"/>
      <c r="H59" s="391" t="n"/>
      <c r="I59" s="388" t="n"/>
      <c r="J59" s="392">
        <f>IFERROR(SUMIFS('SAERTEX-prijstabel'!$E$2:$E$496,'SAERTEX-prijstabel'!$A$2:$A$496,$C59,'SAERTEX-prijstabel'!$B$2:$B$496,$D59,'SAERTEX-prijstabel'!$C$2:$C$496,$E59,'SAERTEX-prijstabel'!$D$2:$D$496,$F59),0)*(1+'SAERTEX 2026'!$B$3)</f>
        <v/>
      </c>
      <c r="K59" s="423">
        <f>IF($B$3&lt;&gt;"ja",0,IF((N($G59)+N($H59))=0,0,IF((N($G59)+N($H59))&lt;15,0.25,IF((N($G59)+N($H59))&lt;=50,0.035,IF((N($G59)+N($H59))&lt;=200,0.025,0.01)))))</f>
        <v/>
      </c>
      <c r="L59" s="392">
        <f>IF($J59=0,0,$G59*$J59*(1+$K59))</f>
        <v/>
      </c>
      <c r="M59" s="392">
        <f>N($H59)*$E$3</f>
        <v/>
      </c>
      <c r="N59" s="398">
        <f>$L59+$M59</f>
        <v/>
      </c>
      <c r="O59" s="401">
        <f>IF($I59="","nog te plannen",IFERROR(LOOKUP($I59,'Periode-overzicht'!$B$25:$B$37,'Periode-overzicht'!$A$25:$A$37),"&lt;P1"))</f>
        <v/>
      </c>
    </row>
    <row r="60">
      <c r="A60" s="306" t="n"/>
      <c r="B60" s="388" t="n"/>
      <c r="C60" s="306" t="n"/>
      <c r="D60" s="306" t="n"/>
      <c r="E60" s="306" t="n"/>
      <c r="F60" s="306" t="n"/>
      <c r="G60" s="391" t="n"/>
      <c r="H60" s="391" t="n"/>
      <c r="I60" s="388" t="n"/>
      <c r="J60" s="392">
        <f>IFERROR(SUMIFS('SAERTEX-prijstabel'!$E$2:$E$496,'SAERTEX-prijstabel'!$A$2:$A$496,$C60,'SAERTEX-prijstabel'!$B$2:$B$496,$D60,'SAERTEX-prijstabel'!$C$2:$C$496,$E60,'SAERTEX-prijstabel'!$D$2:$D$496,$F60),0)*(1+'SAERTEX 2026'!$B$3)</f>
        <v/>
      </c>
      <c r="K60" s="423">
        <f>IF($B$3&lt;&gt;"ja",0,IF((N($G60)+N($H60))=0,0,IF((N($G60)+N($H60))&lt;15,0.25,IF((N($G60)+N($H60))&lt;=50,0.035,IF((N($G60)+N($H60))&lt;=200,0.025,0.01)))))</f>
        <v/>
      </c>
      <c r="L60" s="392">
        <f>IF($J60=0,0,$G60*$J60*(1+$K60))</f>
        <v/>
      </c>
      <c r="M60" s="392">
        <f>N($H60)*$E$3</f>
        <v/>
      </c>
      <c r="N60" s="398">
        <f>$L60+$M60</f>
        <v/>
      </c>
      <c r="O60" s="401">
        <f>IF($I60="","nog te plannen",IFERROR(LOOKUP($I60,'Periode-overzicht'!$B$25:$B$37,'Periode-overzicht'!$A$25:$A$37),"&lt;P1"))</f>
        <v/>
      </c>
    </row>
    <row r="61">
      <c r="A61" s="306" t="n"/>
      <c r="B61" s="388" t="n"/>
      <c r="C61" s="306" t="n"/>
      <c r="D61" s="306" t="n"/>
      <c r="E61" s="306" t="n"/>
      <c r="F61" s="306" t="n"/>
      <c r="G61" s="391" t="n"/>
      <c r="H61" s="391" t="n"/>
      <c r="I61" s="388" t="n"/>
      <c r="J61" s="392">
        <f>IFERROR(SUMIFS('SAERTEX-prijstabel'!$E$2:$E$496,'SAERTEX-prijstabel'!$A$2:$A$496,$C61,'SAERTEX-prijstabel'!$B$2:$B$496,$D61,'SAERTEX-prijstabel'!$C$2:$C$496,$E61,'SAERTEX-prijstabel'!$D$2:$D$496,$F61),0)*(1+'SAERTEX 2026'!$B$3)</f>
        <v/>
      </c>
      <c r="K61" s="423">
        <f>IF($B$3&lt;&gt;"ja",0,IF((N($G61)+N($H61))=0,0,IF((N($G61)+N($H61))&lt;15,0.25,IF((N($G61)+N($H61))&lt;=50,0.035,IF((N($G61)+N($H61))&lt;=200,0.025,0.01)))))</f>
        <v/>
      </c>
      <c r="L61" s="392">
        <f>IF($J61=0,0,$G61*$J61*(1+$K61))</f>
        <v/>
      </c>
      <c r="M61" s="392">
        <f>N($H61)*$E$3</f>
        <v/>
      </c>
      <c r="N61" s="398">
        <f>$L61+$M61</f>
        <v/>
      </c>
      <c r="O61" s="401">
        <f>IF($I61="","nog te plannen",IFERROR(LOOKUP($I61,'Periode-overzicht'!$B$25:$B$37,'Periode-overzicht'!$A$25:$A$37),"&lt;P1"))</f>
        <v/>
      </c>
    </row>
    <row r="62">
      <c r="A62" s="306" t="n"/>
      <c r="B62" s="388" t="n"/>
      <c r="C62" s="306" t="n"/>
      <c r="D62" s="306" t="n"/>
      <c r="E62" s="306" t="n"/>
      <c r="F62" s="306" t="n"/>
      <c r="G62" s="391" t="n"/>
      <c r="H62" s="391" t="n"/>
      <c r="I62" s="388" t="n"/>
      <c r="J62" s="392">
        <f>IFERROR(SUMIFS('SAERTEX-prijstabel'!$E$2:$E$496,'SAERTEX-prijstabel'!$A$2:$A$496,$C62,'SAERTEX-prijstabel'!$B$2:$B$496,$D62,'SAERTEX-prijstabel'!$C$2:$C$496,$E62,'SAERTEX-prijstabel'!$D$2:$D$496,$F62),0)*(1+'SAERTEX 2026'!$B$3)</f>
        <v/>
      </c>
      <c r="K62" s="423">
        <f>IF($B$3&lt;&gt;"ja",0,IF((N($G62)+N($H62))=0,0,IF((N($G62)+N($H62))&lt;15,0.25,IF((N($G62)+N($H62))&lt;=50,0.035,IF((N($G62)+N($H62))&lt;=200,0.025,0.01)))))</f>
        <v/>
      </c>
      <c r="L62" s="392">
        <f>IF($J62=0,0,$G62*$J62*(1+$K62))</f>
        <v/>
      </c>
      <c r="M62" s="392">
        <f>N($H62)*$E$3</f>
        <v/>
      </c>
      <c r="N62" s="398">
        <f>$L62+$M62</f>
        <v/>
      </c>
      <c r="O62" s="401">
        <f>IF($I62="","nog te plannen",IFERROR(LOOKUP($I62,'Periode-overzicht'!$B$25:$B$37,'Periode-overzicht'!$A$25:$A$37),"&lt;P1"))</f>
        <v/>
      </c>
    </row>
    <row r="63">
      <c r="A63" s="306" t="n"/>
      <c r="B63" s="388" t="n"/>
      <c r="C63" s="306" t="n"/>
      <c r="D63" s="306" t="n"/>
      <c r="E63" s="306" t="n"/>
      <c r="F63" s="306" t="n"/>
      <c r="G63" s="391" t="n"/>
      <c r="H63" s="391" t="n"/>
      <c r="I63" s="388" t="n"/>
      <c r="J63" s="392">
        <f>IFERROR(SUMIFS('SAERTEX-prijstabel'!$E$2:$E$496,'SAERTEX-prijstabel'!$A$2:$A$496,$C63,'SAERTEX-prijstabel'!$B$2:$B$496,$D63,'SAERTEX-prijstabel'!$C$2:$C$496,$E63,'SAERTEX-prijstabel'!$D$2:$D$496,$F63),0)*(1+'SAERTEX 2026'!$B$3)</f>
        <v/>
      </c>
      <c r="K63" s="423">
        <f>IF($B$3&lt;&gt;"ja",0,IF((N($G63)+N($H63))=0,0,IF((N($G63)+N($H63))&lt;15,0.25,IF((N($G63)+N($H63))&lt;=50,0.035,IF((N($G63)+N($H63))&lt;=200,0.025,0.01)))))</f>
        <v/>
      </c>
      <c r="L63" s="392">
        <f>IF($J63=0,0,$G63*$J63*(1+$K63))</f>
        <v/>
      </c>
      <c r="M63" s="392">
        <f>N($H63)*$E$3</f>
        <v/>
      </c>
      <c r="N63" s="398">
        <f>$L63+$M63</f>
        <v/>
      </c>
      <c r="O63" s="401">
        <f>IF($I63="","nog te plannen",IFERROR(LOOKUP($I63,'Periode-overzicht'!$B$25:$B$37,'Periode-overzicht'!$A$25:$A$37),"&lt;P1"))</f>
        <v/>
      </c>
    </row>
    <row r="64">
      <c r="A64" s="306" t="n"/>
      <c r="B64" s="388" t="n"/>
      <c r="C64" s="306" t="n"/>
      <c r="D64" s="306" t="n"/>
      <c r="E64" s="306" t="n"/>
      <c r="F64" s="306" t="n"/>
      <c r="G64" s="391" t="n"/>
      <c r="H64" s="391" t="n"/>
      <c r="I64" s="388" t="n"/>
      <c r="J64" s="392">
        <f>IFERROR(SUMIFS('SAERTEX-prijstabel'!$E$2:$E$496,'SAERTEX-prijstabel'!$A$2:$A$496,$C64,'SAERTEX-prijstabel'!$B$2:$B$496,$D64,'SAERTEX-prijstabel'!$C$2:$C$496,$E64,'SAERTEX-prijstabel'!$D$2:$D$496,$F64),0)*(1+'SAERTEX 2026'!$B$3)</f>
        <v/>
      </c>
      <c r="K64" s="423">
        <f>IF($B$3&lt;&gt;"ja",0,IF((N($G64)+N($H64))=0,0,IF((N($G64)+N($H64))&lt;15,0.25,IF((N($G64)+N($H64))&lt;=50,0.035,IF((N($G64)+N($H64))&lt;=200,0.025,0.01)))))</f>
        <v/>
      </c>
      <c r="L64" s="392">
        <f>IF($J64=0,0,$G64*$J64*(1+$K64))</f>
        <v/>
      </c>
      <c r="M64" s="392">
        <f>N($H64)*$E$3</f>
        <v/>
      </c>
      <c r="N64" s="398">
        <f>$L64+$M64</f>
        <v/>
      </c>
      <c r="O64" s="401">
        <f>IF($I64="","nog te plannen",IFERROR(LOOKUP($I64,'Periode-overzicht'!$B$25:$B$37,'Periode-overzicht'!$A$25:$A$37),"&lt;P1"))</f>
        <v/>
      </c>
    </row>
    <row r="65">
      <c r="A65" s="306" t="n"/>
      <c r="B65" s="388" t="n"/>
      <c r="C65" s="306" t="n"/>
      <c r="D65" s="306" t="n"/>
      <c r="E65" s="306" t="n"/>
      <c r="F65" s="306" t="n"/>
      <c r="G65" s="391" t="n"/>
      <c r="H65" s="391" t="n"/>
      <c r="I65" s="388" t="n"/>
      <c r="J65" s="392">
        <f>IFERROR(SUMIFS('SAERTEX-prijstabel'!$E$2:$E$496,'SAERTEX-prijstabel'!$A$2:$A$496,$C65,'SAERTEX-prijstabel'!$B$2:$B$496,$D65,'SAERTEX-prijstabel'!$C$2:$C$496,$E65,'SAERTEX-prijstabel'!$D$2:$D$496,$F65),0)*(1+'SAERTEX 2026'!$B$3)</f>
        <v/>
      </c>
      <c r="K65" s="423">
        <f>IF($B$3&lt;&gt;"ja",0,IF((N($G65)+N($H65))=0,0,IF((N($G65)+N($H65))&lt;15,0.25,IF((N($G65)+N($H65))&lt;=50,0.035,IF((N($G65)+N($H65))&lt;=200,0.025,0.01)))))</f>
        <v/>
      </c>
      <c r="L65" s="392">
        <f>IF($J65=0,0,$G65*$J65*(1+$K65))</f>
        <v/>
      </c>
      <c r="M65" s="392">
        <f>N($H65)*$E$3</f>
        <v/>
      </c>
      <c r="N65" s="398">
        <f>$L65+$M65</f>
        <v/>
      </c>
      <c r="O65" s="401">
        <f>IF($I65="","nog te plannen",IFERROR(LOOKUP($I65,'Periode-overzicht'!$B$25:$B$37,'Periode-overzicht'!$A$25:$A$37),"&lt;P1"))</f>
        <v/>
      </c>
    </row>
    <row r="66">
      <c r="A66" s="306" t="n"/>
      <c r="B66" s="388" t="n"/>
      <c r="C66" s="306" t="n"/>
      <c r="D66" s="306" t="n"/>
      <c r="E66" s="306" t="n"/>
      <c r="F66" s="306" t="n"/>
      <c r="G66" s="391" t="n"/>
      <c r="H66" s="391" t="n"/>
      <c r="I66" s="388" t="n"/>
      <c r="J66" s="392">
        <f>IFERROR(SUMIFS('SAERTEX-prijstabel'!$E$2:$E$496,'SAERTEX-prijstabel'!$A$2:$A$496,$C66,'SAERTEX-prijstabel'!$B$2:$B$496,$D66,'SAERTEX-prijstabel'!$C$2:$C$496,$E66,'SAERTEX-prijstabel'!$D$2:$D$496,$F66),0)*(1+'SAERTEX 2026'!$B$3)</f>
        <v/>
      </c>
      <c r="K66" s="423">
        <f>IF($B$3&lt;&gt;"ja",0,IF((N($G66)+N($H66))=0,0,IF((N($G66)+N($H66))&lt;15,0.25,IF((N($G66)+N($H66))&lt;=50,0.035,IF((N($G66)+N($H66))&lt;=200,0.025,0.01)))))</f>
        <v/>
      </c>
      <c r="L66" s="392">
        <f>IF($J66=0,0,$G66*$J66*(1+$K66))</f>
        <v/>
      </c>
      <c r="M66" s="392">
        <f>N($H66)*$E$3</f>
        <v/>
      </c>
      <c r="N66" s="398">
        <f>$L66+$M66</f>
        <v/>
      </c>
      <c r="O66" s="401">
        <f>IF($I66="","nog te plannen",IFERROR(LOOKUP($I66,'Periode-overzicht'!$B$25:$B$37,'Periode-overzicht'!$A$25:$A$37),"&lt;P1"))</f>
        <v/>
      </c>
    </row>
    <row r="67">
      <c r="A67" s="306" t="n"/>
      <c r="B67" s="388" t="n"/>
      <c r="C67" s="306" t="n"/>
      <c r="D67" s="306" t="n"/>
      <c r="E67" s="306" t="n"/>
      <c r="F67" s="306" t="n"/>
      <c r="G67" s="391" t="n"/>
      <c r="H67" s="391" t="n"/>
      <c r="I67" s="388" t="n"/>
      <c r="J67" s="392">
        <f>IFERROR(SUMIFS('SAERTEX-prijstabel'!$E$2:$E$496,'SAERTEX-prijstabel'!$A$2:$A$496,$C67,'SAERTEX-prijstabel'!$B$2:$B$496,$D67,'SAERTEX-prijstabel'!$C$2:$C$496,$E67,'SAERTEX-prijstabel'!$D$2:$D$496,$F67),0)*(1+'SAERTEX 2026'!$B$3)</f>
        <v/>
      </c>
      <c r="K67" s="423">
        <f>IF($B$3&lt;&gt;"ja",0,IF((N($G67)+N($H67))=0,0,IF((N($G67)+N($H67))&lt;15,0.25,IF((N($G67)+N($H67))&lt;=50,0.035,IF((N($G67)+N($H67))&lt;=200,0.025,0.01)))))</f>
        <v/>
      </c>
      <c r="L67" s="392">
        <f>IF($J67=0,0,$G67*$J67*(1+$K67))</f>
        <v/>
      </c>
      <c r="M67" s="392">
        <f>N($H67)*$E$3</f>
        <v/>
      </c>
      <c r="N67" s="398">
        <f>$L67+$M67</f>
        <v/>
      </c>
      <c r="O67" s="401">
        <f>IF($I67="","nog te plannen",IFERROR(LOOKUP($I67,'Periode-overzicht'!$B$25:$B$37,'Periode-overzicht'!$A$25:$A$37),"&lt;P1"))</f>
        <v/>
      </c>
    </row>
    <row r="68">
      <c r="A68" s="306" t="n"/>
      <c r="B68" s="388" t="n"/>
      <c r="C68" s="306" t="n"/>
      <c r="D68" s="306" t="n"/>
      <c r="E68" s="306" t="n"/>
      <c r="F68" s="306" t="n"/>
      <c r="G68" s="391" t="n"/>
      <c r="H68" s="391" t="n"/>
      <c r="I68" s="388" t="n"/>
      <c r="J68" s="392">
        <f>IFERROR(SUMIFS('SAERTEX-prijstabel'!$E$2:$E$496,'SAERTEX-prijstabel'!$A$2:$A$496,$C68,'SAERTEX-prijstabel'!$B$2:$B$496,$D68,'SAERTEX-prijstabel'!$C$2:$C$496,$E68,'SAERTEX-prijstabel'!$D$2:$D$496,$F68),0)*(1+'SAERTEX 2026'!$B$3)</f>
        <v/>
      </c>
      <c r="K68" s="423">
        <f>IF($B$3&lt;&gt;"ja",0,IF((N($G68)+N($H68))=0,0,IF((N($G68)+N($H68))&lt;15,0.25,IF((N($G68)+N($H68))&lt;=50,0.035,IF((N($G68)+N($H68))&lt;=200,0.025,0.01)))))</f>
        <v/>
      </c>
      <c r="L68" s="392">
        <f>IF($J68=0,0,$G68*$J68*(1+$K68))</f>
        <v/>
      </c>
      <c r="M68" s="392">
        <f>N($H68)*$E$3</f>
        <v/>
      </c>
      <c r="N68" s="398">
        <f>$L68+$M68</f>
        <v/>
      </c>
      <c r="O68" s="401">
        <f>IF($I68="","nog te plannen",IFERROR(LOOKUP($I68,'Periode-overzicht'!$B$25:$B$37,'Periode-overzicht'!$A$25:$A$37),"&lt;P1"))</f>
        <v/>
      </c>
    </row>
    <row r="69">
      <c r="A69" s="306" t="n"/>
      <c r="B69" s="388" t="n"/>
      <c r="C69" s="306" t="n"/>
      <c r="D69" s="306" t="n"/>
      <c r="E69" s="306" t="n"/>
      <c r="F69" s="306" t="n"/>
      <c r="G69" s="391" t="n"/>
      <c r="H69" s="391" t="n"/>
      <c r="I69" s="388" t="n"/>
      <c r="J69" s="392">
        <f>IFERROR(SUMIFS('SAERTEX-prijstabel'!$E$2:$E$496,'SAERTEX-prijstabel'!$A$2:$A$496,$C69,'SAERTEX-prijstabel'!$B$2:$B$496,$D69,'SAERTEX-prijstabel'!$C$2:$C$496,$E69,'SAERTEX-prijstabel'!$D$2:$D$496,$F69),0)*(1+'SAERTEX 2026'!$B$3)</f>
        <v/>
      </c>
      <c r="K69" s="423">
        <f>IF($B$3&lt;&gt;"ja",0,IF((N($G69)+N($H69))=0,0,IF((N($G69)+N($H69))&lt;15,0.25,IF((N($G69)+N($H69))&lt;=50,0.035,IF((N($G69)+N($H69))&lt;=200,0.025,0.01)))))</f>
        <v/>
      </c>
      <c r="L69" s="392">
        <f>IF($J69=0,0,$G69*$J69*(1+$K69))</f>
        <v/>
      </c>
      <c r="M69" s="392">
        <f>N($H69)*$E$3</f>
        <v/>
      </c>
      <c r="N69" s="398">
        <f>$L69+$M69</f>
        <v/>
      </c>
      <c r="O69" s="401">
        <f>IF($I69="","nog te plannen",IFERROR(LOOKUP($I69,'Periode-overzicht'!$B$25:$B$37,'Periode-overzicht'!$A$25:$A$37),"&lt;P1"))</f>
        <v/>
      </c>
    </row>
    <row r="70">
      <c r="A70" s="306" t="n"/>
      <c r="B70" s="388" t="n"/>
      <c r="C70" s="306" t="n"/>
      <c r="D70" s="306" t="n"/>
      <c r="E70" s="306" t="n"/>
      <c r="F70" s="306" t="n"/>
      <c r="G70" s="391" t="n"/>
      <c r="H70" s="391" t="n"/>
      <c r="I70" s="388" t="n"/>
      <c r="J70" s="392">
        <f>IFERROR(SUMIFS('SAERTEX-prijstabel'!$E$2:$E$496,'SAERTEX-prijstabel'!$A$2:$A$496,$C70,'SAERTEX-prijstabel'!$B$2:$B$496,$D70,'SAERTEX-prijstabel'!$C$2:$C$496,$E70,'SAERTEX-prijstabel'!$D$2:$D$496,$F70),0)*(1+'SAERTEX 2026'!$B$3)</f>
        <v/>
      </c>
      <c r="K70" s="423">
        <f>IF($B$3&lt;&gt;"ja",0,IF((N($G70)+N($H70))=0,0,IF((N($G70)+N($H70))&lt;15,0.25,IF((N($G70)+N($H70))&lt;=50,0.035,IF((N($G70)+N($H70))&lt;=200,0.025,0.01)))))</f>
        <v/>
      </c>
      <c r="L70" s="392">
        <f>IF($J70=0,0,$G70*$J70*(1+$K70))</f>
        <v/>
      </c>
      <c r="M70" s="392">
        <f>N($H70)*$E$3</f>
        <v/>
      </c>
      <c r="N70" s="398">
        <f>$L70+$M70</f>
        <v/>
      </c>
      <c r="O70" s="401">
        <f>IF($I70="","nog te plannen",IFERROR(LOOKUP($I70,'Periode-overzicht'!$B$25:$B$37,'Periode-overzicht'!$A$25:$A$37),"&lt;P1"))</f>
        <v/>
      </c>
    </row>
    <row r="71">
      <c r="A71" s="306" t="n"/>
      <c r="B71" s="388" t="n"/>
      <c r="C71" s="306" t="n"/>
      <c r="D71" s="306" t="n"/>
      <c r="E71" s="306" t="n"/>
      <c r="F71" s="306" t="n"/>
      <c r="G71" s="391" t="n"/>
      <c r="H71" s="391" t="n"/>
      <c r="I71" s="388" t="n"/>
      <c r="J71" s="392">
        <f>IFERROR(SUMIFS('SAERTEX-prijstabel'!$E$2:$E$496,'SAERTEX-prijstabel'!$A$2:$A$496,$C71,'SAERTEX-prijstabel'!$B$2:$B$496,$D71,'SAERTEX-prijstabel'!$C$2:$C$496,$E71,'SAERTEX-prijstabel'!$D$2:$D$496,$F71),0)*(1+'SAERTEX 2026'!$B$3)</f>
        <v/>
      </c>
      <c r="K71" s="423">
        <f>IF($B$3&lt;&gt;"ja",0,IF((N($G71)+N($H71))=0,0,IF((N($G71)+N($H71))&lt;15,0.25,IF((N($G71)+N($H71))&lt;=50,0.035,IF((N($G71)+N($H71))&lt;=200,0.025,0.01)))))</f>
        <v/>
      </c>
      <c r="L71" s="392">
        <f>IF($J71=0,0,$G71*$J71*(1+$K71))</f>
        <v/>
      </c>
      <c r="M71" s="392">
        <f>N($H71)*$E$3</f>
        <v/>
      </c>
      <c r="N71" s="398">
        <f>$L71+$M71</f>
        <v/>
      </c>
      <c r="O71" s="401">
        <f>IF($I71="","nog te plannen",IFERROR(LOOKUP($I71,'Periode-overzicht'!$B$25:$B$37,'Periode-overzicht'!$A$25:$A$37),"&lt;P1"))</f>
        <v/>
      </c>
    </row>
    <row r="72">
      <c r="A72" s="306" t="n"/>
      <c r="B72" s="388" t="n"/>
      <c r="C72" s="306" t="n"/>
      <c r="D72" s="306" t="n"/>
      <c r="E72" s="306" t="n"/>
      <c r="F72" s="306" t="n"/>
      <c r="G72" s="391" t="n"/>
      <c r="H72" s="391" t="n"/>
      <c r="I72" s="388" t="n"/>
      <c r="J72" s="392">
        <f>IFERROR(SUMIFS('SAERTEX-prijstabel'!$E$2:$E$496,'SAERTEX-prijstabel'!$A$2:$A$496,$C72,'SAERTEX-prijstabel'!$B$2:$B$496,$D72,'SAERTEX-prijstabel'!$C$2:$C$496,$E72,'SAERTEX-prijstabel'!$D$2:$D$496,$F72),0)*(1+'SAERTEX 2026'!$B$3)</f>
        <v/>
      </c>
      <c r="K72" s="423">
        <f>IF($B$3&lt;&gt;"ja",0,IF((N($G72)+N($H72))=0,0,IF((N($G72)+N($H72))&lt;15,0.25,IF((N($G72)+N($H72))&lt;=50,0.035,IF((N($G72)+N($H72))&lt;=200,0.025,0.01)))))</f>
        <v/>
      </c>
      <c r="L72" s="392">
        <f>IF($J72=0,0,$G72*$J72*(1+$K72))</f>
        <v/>
      </c>
      <c r="M72" s="392">
        <f>N($H72)*$E$3</f>
        <v/>
      </c>
      <c r="N72" s="398">
        <f>$L72+$M72</f>
        <v/>
      </c>
      <c r="O72" s="401">
        <f>IF($I72="","nog te plannen",IFERROR(LOOKUP($I72,'Periode-overzicht'!$B$25:$B$37,'Periode-overzicht'!$A$25:$A$37),"&lt;P1"))</f>
        <v/>
      </c>
    </row>
    <row r="73">
      <c r="A73" s="306" t="n"/>
      <c r="B73" s="388" t="n"/>
      <c r="C73" s="306" t="n"/>
      <c r="D73" s="306" t="n"/>
      <c r="E73" s="306" t="n"/>
      <c r="F73" s="306" t="n"/>
      <c r="G73" s="391" t="n"/>
      <c r="H73" s="391" t="n"/>
      <c r="I73" s="388" t="n"/>
      <c r="J73" s="392">
        <f>IFERROR(SUMIFS('SAERTEX-prijstabel'!$E$2:$E$496,'SAERTEX-prijstabel'!$A$2:$A$496,$C73,'SAERTEX-prijstabel'!$B$2:$B$496,$D73,'SAERTEX-prijstabel'!$C$2:$C$496,$E73,'SAERTEX-prijstabel'!$D$2:$D$496,$F73),0)*(1+'SAERTEX 2026'!$B$3)</f>
        <v/>
      </c>
      <c r="K73" s="423">
        <f>IF($B$3&lt;&gt;"ja",0,IF((N($G73)+N($H73))=0,0,IF((N($G73)+N($H73))&lt;15,0.25,IF((N($G73)+N($H73))&lt;=50,0.035,IF((N($G73)+N($H73))&lt;=200,0.025,0.01)))))</f>
        <v/>
      </c>
      <c r="L73" s="392">
        <f>IF($J73=0,0,$G73*$J73*(1+$K73))</f>
        <v/>
      </c>
      <c r="M73" s="392">
        <f>N($H73)*$E$3</f>
        <v/>
      </c>
      <c r="N73" s="398">
        <f>$L73+$M73</f>
        <v/>
      </c>
      <c r="O73" s="401">
        <f>IF($I73="","nog te plannen",IFERROR(LOOKUP($I73,'Periode-overzicht'!$B$25:$B$37,'Periode-overzicht'!$A$25:$A$37),"&lt;P1"))</f>
        <v/>
      </c>
    </row>
    <row r="74">
      <c r="A74" s="306" t="n"/>
      <c r="B74" s="388" t="n"/>
      <c r="C74" s="306" t="n"/>
      <c r="D74" s="306" t="n"/>
      <c r="E74" s="306" t="n"/>
      <c r="F74" s="306" t="n"/>
      <c r="G74" s="391" t="n"/>
      <c r="H74" s="391" t="n"/>
      <c r="I74" s="388" t="n"/>
      <c r="J74" s="392">
        <f>IFERROR(SUMIFS('SAERTEX-prijstabel'!$E$2:$E$496,'SAERTEX-prijstabel'!$A$2:$A$496,$C74,'SAERTEX-prijstabel'!$B$2:$B$496,$D74,'SAERTEX-prijstabel'!$C$2:$C$496,$E74,'SAERTEX-prijstabel'!$D$2:$D$496,$F74),0)*(1+'SAERTEX 2026'!$B$3)</f>
        <v/>
      </c>
      <c r="K74" s="423">
        <f>IF($B$3&lt;&gt;"ja",0,IF((N($G74)+N($H74))=0,0,IF((N($G74)+N($H74))&lt;15,0.25,IF((N($G74)+N($H74))&lt;=50,0.035,IF((N($G74)+N($H74))&lt;=200,0.025,0.01)))))</f>
        <v/>
      </c>
      <c r="L74" s="392">
        <f>IF($J74=0,0,$G74*$J74*(1+$K74))</f>
        <v/>
      </c>
      <c r="M74" s="392">
        <f>N($H74)*$E$3</f>
        <v/>
      </c>
      <c r="N74" s="398">
        <f>$L74+$M74</f>
        <v/>
      </c>
      <c r="O74" s="401">
        <f>IF($I74="","nog te plannen",IFERROR(LOOKUP($I74,'Periode-overzicht'!$B$25:$B$37,'Periode-overzicht'!$A$25:$A$37),"&lt;P1"))</f>
        <v/>
      </c>
    </row>
    <row r="75">
      <c r="A75" s="306" t="n"/>
      <c r="B75" s="388" t="n"/>
      <c r="C75" s="306" t="n"/>
      <c r="D75" s="306" t="n"/>
      <c r="E75" s="306" t="n"/>
      <c r="F75" s="306" t="n"/>
      <c r="G75" s="391" t="n"/>
      <c r="H75" s="391" t="n"/>
      <c r="I75" s="388" t="n"/>
      <c r="J75" s="392">
        <f>IFERROR(SUMIFS('SAERTEX-prijstabel'!$E$2:$E$496,'SAERTEX-prijstabel'!$A$2:$A$496,$C75,'SAERTEX-prijstabel'!$B$2:$B$496,$D75,'SAERTEX-prijstabel'!$C$2:$C$496,$E75,'SAERTEX-prijstabel'!$D$2:$D$496,$F75),0)*(1+'SAERTEX 2026'!$B$3)</f>
        <v/>
      </c>
      <c r="K75" s="423">
        <f>IF($B$3&lt;&gt;"ja",0,IF((N($G75)+N($H75))=0,0,IF((N($G75)+N($H75))&lt;15,0.25,IF((N($G75)+N($H75))&lt;=50,0.035,IF((N($G75)+N($H75))&lt;=200,0.025,0.01)))))</f>
        <v/>
      </c>
      <c r="L75" s="392">
        <f>IF($J75=0,0,$G75*$J75*(1+$K75))</f>
        <v/>
      </c>
      <c r="M75" s="392">
        <f>N($H75)*$E$3</f>
        <v/>
      </c>
      <c r="N75" s="398">
        <f>$L75+$M75</f>
        <v/>
      </c>
      <c r="O75" s="401">
        <f>IF($I75="","nog te plannen",IFERROR(LOOKUP($I75,'Periode-overzicht'!$B$25:$B$37,'Periode-overzicht'!$A$25:$A$37),"&lt;P1"))</f>
        <v/>
      </c>
    </row>
    <row r="76">
      <c r="A76" s="306" t="n"/>
      <c r="B76" s="388" t="n"/>
      <c r="C76" s="306" t="n"/>
      <c r="D76" s="306" t="n"/>
      <c r="E76" s="306" t="n"/>
      <c r="F76" s="306" t="n"/>
      <c r="G76" s="391" t="n"/>
      <c r="H76" s="391" t="n"/>
      <c r="I76" s="388" t="n"/>
      <c r="J76" s="392">
        <f>IFERROR(SUMIFS('SAERTEX-prijstabel'!$E$2:$E$496,'SAERTEX-prijstabel'!$A$2:$A$496,$C76,'SAERTEX-prijstabel'!$B$2:$B$496,$D76,'SAERTEX-prijstabel'!$C$2:$C$496,$E76,'SAERTEX-prijstabel'!$D$2:$D$496,$F76),0)*(1+'SAERTEX 2026'!$B$3)</f>
        <v/>
      </c>
      <c r="K76" s="423">
        <f>IF($B$3&lt;&gt;"ja",0,IF((N($G76)+N($H76))=0,0,IF((N($G76)+N($H76))&lt;15,0.25,IF((N($G76)+N($H76))&lt;=50,0.035,IF((N($G76)+N($H76))&lt;=200,0.025,0.01)))))</f>
        <v/>
      </c>
      <c r="L76" s="392">
        <f>IF($J76=0,0,$G76*$J76*(1+$K76))</f>
        <v/>
      </c>
      <c r="M76" s="392">
        <f>N($H76)*$E$3</f>
        <v/>
      </c>
      <c r="N76" s="398">
        <f>$L76+$M76</f>
        <v/>
      </c>
      <c r="O76" s="401">
        <f>IF($I76="","nog te plannen",IFERROR(LOOKUP($I76,'Periode-overzicht'!$B$25:$B$37,'Periode-overzicht'!$A$25:$A$37),"&lt;P1"))</f>
        <v/>
      </c>
    </row>
    <row r="77">
      <c r="A77" s="306" t="n"/>
      <c r="B77" s="388" t="n"/>
      <c r="C77" s="306" t="n"/>
      <c r="D77" s="306" t="n"/>
      <c r="E77" s="306" t="n"/>
      <c r="F77" s="306" t="n"/>
      <c r="G77" s="391" t="n"/>
      <c r="H77" s="391" t="n"/>
      <c r="I77" s="388" t="n"/>
      <c r="J77" s="392">
        <f>IFERROR(SUMIFS('SAERTEX-prijstabel'!$E$2:$E$496,'SAERTEX-prijstabel'!$A$2:$A$496,$C77,'SAERTEX-prijstabel'!$B$2:$B$496,$D77,'SAERTEX-prijstabel'!$C$2:$C$496,$E77,'SAERTEX-prijstabel'!$D$2:$D$496,$F77),0)*(1+'SAERTEX 2026'!$B$3)</f>
        <v/>
      </c>
      <c r="K77" s="423">
        <f>IF($B$3&lt;&gt;"ja",0,IF((N($G77)+N($H77))=0,0,IF((N($G77)+N($H77))&lt;15,0.25,IF((N($G77)+N($H77))&lt;=50,0.035,IF((N($G77)+N($H77))&lt;=200,0.025,0.01)))))</f>
        <v/>
      </c>
      <c r="L77" s="392">
        <f>IF($J77=0,0,$G77*$J77*(1+$K77))</f>
        <v/>
      </c>
      <c r="M77" s="392">
        <f>N($H77)*$E$3</f>
        <v/>
      </c>
      <c r="N77" s="398">
        <f>$L77+$M77</f>
        <v/>
      </c>
      <c r="O77" s="401">
        <f>IF($I77="","nog te plannen",IFERROR(LOOKUP($I77,'Periode-overzicht'!$B$25:$B$37,'Periode-overzicht'!$A$25:$A$37),"&lt;P1"))</f>
        <v/>
      </c>
    </row>
    <row r="78">
      <c r="A78" s="306" t="n"/>
      <c r="B78" s="388" t="n"/>
      <c r="C78" s="306" t="n"/>
      <c r="D78" s="306" t="n"/>
      <c r="E78" s="306" t="n"/>
      <c r="F78" s="306" t="n"/>
      <c r="G78" s="391" t="n"/>
      <c r="H78" s="391" t="n"/>
      <c r="I78" s="388" t="n"/>
      <c r="J78" s="392">
        <f>IFERROR(SUMIFS('SAERTEX-prijstabel'!$E$2:$E$496,'SAERTEX-prijstabel'!$A$2:$A$496,$C78,'SAERTEX-prijstabel'!$B$2:$B$496,$D78,'SAERTEX-prijstabel'!$C$2:$C$496,$E78,'SAERTEX-prijstabel'!$D$2:$D$496,$F78),0)*(1+'SAERTEX 2026'!$B$3)</f>
        <v/>
      </c>
      <c r="K78" s="423">
        <f>IF($B$3&lt;&gt;"ja",0,IF((N($G78)+N($H78))=0,0,IF((N($G78)+N($H78))&lt;15,0.25,IF((N($G78)+N($H78))&lt;=50,0.035,IF((N($G78)+N($H78))&lt;=200,0.025,0.01)))))</f>
        <v/>
      </c>
      <c r="L78" s="392">
        <f>IF($J78=0,0,$G78*$J78*(1+$K78))</f>
        <v/>
      </c>
      <c r="M78" s="392">
        <f>N($H78)*$E$3</f>
        <v/>
      </c>
      <c r="N78" s="398">
        <f>$L78+$M78</f>
        <v/>
      </c>
      <c r="O78" s="401">
        <f>IF($I78="","nog te plannen",IFERROR(LOOKUP($I78,'Periode-overzicht'!$B$25:$B$37,'Periode-overzicht'!$A$25:$A$37),"&lt;P1"))</f>
        <v/>
      </c>
    </row>
    <row r="79">
      <c r="A79" s="306" t="n"/>
      <c r="B79" s="388" t="n"/>
      <c r="C79" s="306" t="n"/>
      <c r="D79" s="306" t="n"/>
      <c r="E79" s="306" t="n"/>
      <c r="F79" s="306" t="n"/>
      <c r="G79" s="391" t="n"/>
      <c r="H79" s="391" t="n"/>
      <c r="I79" s="388" t="n"/>
      <c r="J79" s="392">
        <f>IFERROR(SUMIFS('SAERTEX-prijstabel'!$E$2:$E$496,'SAERTEX-prijstabel'!$A$2:$A$496,$C79,'SAERTEX-prijstabel'!$B$2:$B$496,$D79,'SAERTEX-prijstabel'!$C$2:$C$496,$E79,'SAERTEX-prijstabel'!$D$2:$D$496,$F79),0)*(1+'SAERTEX 2026'!$B$3)</f>
        <v/>
      </c>
      <c r="K79" s="423">
        <f>IF($B$3&lt;&gt;"ja",0,IF((N($G79)+N($H79))=0,0,IF((N($G79)+N($H79))&lt;15,0.25,IF((N($G79)+N($H79))&lt;=50,0.035,IF((N($G79)+N($H79))&lt;=200,0.025,0.01)))))</f>
        <v/>
      </c>
      <c r="L79" s="392">
        <f>IF($J79=0,0,$G79*$J79*(1+$K79))</f>
        <v/>
      </c>
      <c r="M79" s="392">
        <f>N($H79)*$E$3</f>
        <v/>
      </c>
      <c r="N79" s="398">
        <f>$L79+$M79</f>
        <v/>
      </c>
      <c r="O79" s="401">
        <f>IF($I79="","nog te plannen",IFERROR(LOOKUP($I79,'Periode-overzicht'!$B$25:$B$37,'Periode-overzicht'!$A$25:$A$37),"&lt;P1"))</f>
        <v/>
      </c>
    </row>
    <row r="80">
      <c r="A80" s="306" t="n"/>
      <c r="B80" s="388" t="n"/>
      <c r="C80" s="306" t="n"/>
      <c r="D80" s="306" t="n"/>
      <c r="E80" s="306" t="n"/>
      <c r="F80" s="306" t="n"/>
      <c r="G80" s="391" t="n"/>
      <c r="H80" s="391" t="n"/>
      <c r="I80" s="388" t="n"/>
      <c r="J80" s="392">
        <f>IFERROR(SUMIFS('SAERTEX-prijstabel'!$E$2:$E$496,'SAERTEX-prijstabel'!$A$2:$A$496,$C80,'SAERTEX-prijstabel'!$B$2:$B$496,$D80,'SAERTEX-prijstabel'!$C$2:$C$496,$E80,'SAERTEX-prijstabel'!$D$2:$D$496,$F80),0)*(1+'SAERTEX 2026'!$B$3)</f>
        <v/>
      </c>
      <c r="K80" s="423">
        <f>IF($B$3&lt;&gt;"ja",0,IF((N($G80)+N($H80))=0,0,IF((N($G80)+N($H80))&lt;15,0.25,IF((N($G80)+N($H80))&lt;=50,0.035,IF((N($G80)+N($H80))&lt;=200,0.025,0.01)))))</f>
        <v/>
      </c>
      <c r="L80" s="392">
        <f>IF($J80=0,0,$G80*$J80*(1+$K80))</f>
        <v/>
      </c>
      <c r="M80" s="392">
        <f>N($H80)*$E$3</f>
        <v/>
      </c>
      <c r="N80" s="398">
        <f>$L80+$M80</f>
        <v/>
      </c>
      <c r="O80" s="401">
        <f>IF($I80="","nog te plannen",IFERROR(LOOKUP($I80,'Periode-overzicht'!$B$25:$B$37,'Periode-overzicht'!$A$25:$A$37),"&lt;P1"))</f>
        <v/>
      </c>
    </row>
    <row r="81">
      <c r="M81" s="402" t="inlineStr">
        <is>
          <t>TOTAAL</t>
        </is>
      </c>
      <c r="N81" s="403">
        <f>SUM(N5:N80)</f>
        <v/>
      </c>
    </row>
  </sheetData>
  <dataValidations count="3">
    <dataValidation sqref="C5:C80" showDropDown="0" showInputMessage="0" showErrorMessage="0" allowBlank="1" type="list">
      <formula1>"S+,S+ FastPlus,E"</formula1>
    </dataValidation>
    <dataValidation sqref="D5:D80" showDropDown="0" showInputMessage="0" showErrorMessage="0" allowBlank="1" type="list">
      <formula1>"rond,ei"</formula1>
    </dataValidation>
    <dataValidation sqref="B3" showDropDown="0" showInputMessage="0" showErrorMessage="0" allowBlank="1" type="list">
      <formula1>"ja,nee"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6" customWidth="1" min="8" max="8"/>
    <col width="9" customWidth="1" min="9" max="9"/>
    <col width="12" customWidth="1" min="10" max="10"/>
    <col width="22" customWidth="1" min="11" max="11"/>
  </cols>
  <sheetData>
    <row r="1">
      <c r="A1" s="371" t="inlineStr">
        <is>
          <t>PROGNOSE — verwachte projectkosten, reeds gemaakt en nog te verwachten</t>
        </is>
      </c>
    </row>
    <row r="2">
      <c r="A2" s="386" t="inlineStr">
        <is>
          <t>Geel = invoer. Vul per kostenpost het aantal en (zo nodig) het tarief in; 'Reeds gemaakt' = wat je al hebt uitgegeven/geboekt. 'Nog te verwachten' rekent automatisch.</t>
        </is>
      </c>
    </row>
    <row r="4">
      <c r="A4" s="404" t="inlineStr">
        <is>
          <t>Verwachte opbrengst (omzet)</t>
        </is>
      </c>
      <c r="B4" s="405" t="n"/>
    </row>
    <row r="5">
      <c r="A5" s="404" t="inlineStr">
        <is>
          <t>Totaal verwachte kosten</t>
        </is>
      </c>
      <c r="B5" s="406">
        <f>F57</f>
        <v/>
      </c>
    </row>
    <row r="6">
      <c r="A6" s="404" t="inlineStr">
        <is>
          <t>Reeds gemaakte kosten</t>
        </is>
      </c>
      <c r="B6" s="406">
        <f>G57</f>
        <v/>
      </c>
    </row>
    <row r="7">
      <c r="A7" s="404" t="inlineStr">
        <is>
          <t>Nog te verwachten kosten</t>
        </is>
      </c>
      <c r="B7" s="407">
        <f>H57</f>
        <v/>
      </c>
    </row>
    <row r="8">
      <c r="A8" s="404" t="inlineStr">
        <is>
          <t>Prognose resultaat</t>
        </is>
      </c>
      <c r="B8" s="408">
        <f>B4-F57</f>
        <v/>
      </c>
    </row>
    <row r="9">
      <c r="A9" s="404" t="inlineStr">
        <is>
          <t>% kosten gemaakt</t>
        </is>
      </c>
      <c r="B9" s="409">
        <f>IF(F57=0,"",G57/F57)</f>
        <v/>
      </c>
    </row>
    <row r="12" ht="30" customHeight="1">
      <c r="A12" s="315" t="inlineStr">
        <is>
          <t>Kostenpost</t>
        </is>
      </c>
      <c r="B12" s="315" t="inlineStr">
        <is>
          <t>Categorie</t>
        </is>
      </c>
      <c r="C12" s="315" t="inlineStr">
        <is>
          <t>Eenheid</t>
        </is>
      </c>
      <c r="D12" s="315" t="inlineStr">
        <is>
          <t>Aantal</t>
        </is>
      </c>
      <c r="E12" s="315" t="inlineStr">
        <is>
          <t>Tarief (€)</t>
        </is>
      </c>
      <c r="F12" s="315" t="inlineStr">
        <is>
          <t>Verwachte kosten</t>
        </is>
      </c>
      <c r="G12" s="315" t="inlineStr">
        <is>
          <t>Reeds gemaakt</t>
        </is>
      </c>
      <c r="H12" s="315" t="inlineStr">
        <is>
          <t>Nog te verwachten</t>
        </is>
      </c>
      <c r="I12" s="315" t="inlineStr">
        <is>
          <t>% gereed</t>
        </is>
      </c>
      <c r="J12" s="315" t="inlineStr">
        <is>
          <t>Periode</t>
        </is>
      </c>
      <c r="K12" s="315" t="inlineStr">
        <is>
          <t>Opmerking</t>
        </is>
      </c>
    </row>
    <row r="13">
      <c r="A13" s="242" t="inlineStr">
        <is>
          <t>MATERIAAL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</row>
    <row r="14">
      <c r="A14" s="244" t="inlineStr">
        <is>
          <t>Liners (zie blad Kousen)</t>
        </is>
      </c>
      <c r="B14" s="244" t="inlineStr">
        <is>
          <t>MATERIAAL</t>
        </is>
      </c>
      <c r="C14" s="259" t="inlineStr">
        <is>
          <t>m</t>
        </is>
      </c>
      <c r="D14" s="306" t="n"/>
      <c r="E14" s="410" t="n"/>
      <c r="F14" s="411">
        <f>'Kousen'!N81</f>
        <v/>
      </c>
      <c r="G14" s="410" t="n"/>
      <c r="H14" s="411">
        <f>F14-G14</f>
        <v/>
      </c>
      <c r="I14" s="412">
        <f>IF(F14=0,"",G14/F14)</f>
        <v/>
      </c>
      <c r="J14" s="388" t="n"/>
      <c r="K14" s="388" t="n"/>
    </row>
    <row r="15">
      <c r="A15" s="244" t="inlineStr">
        <is>
          <t>Stelpost materiaal / overig</t>
        </is>
      </c>
      <c r="B15" s="244" t="inlineStr">
        <is>
          <t>MATERIAAL</t>
        </is>
      </c>
      <c r="C15" s="259" t="inlineStr">
        <is>
          <t>post</t>
        </is>
      </c>
      <c r="D15" s="306" t="n"/>
      <c r="E15" s="410" t="n"/>
      <c r="F15" s="411">
        <f>D15*E15</f>
        <v/>
      </c>
      <c r="G15" s="410" t="n"/>
      <c r="H15" s="411">
        <f>F15-G15</f>
        <v/>
      </c>
      <c r="I15" s="412">
        <f>IF(F15=0,"",G15/F15)</f>
        <v/>
      </c>
      <c r="J15" s="388" t="n"/>
      <c r="K15" s="388" t="n"/>
    </row>
    <row r="16">
      <c r="A16" s="367" t="inlineStr">
        <is>
          <t>Subtotaal MATERIAAL</t>
        </is>
      </c>
      <c r="B16" s="413" t="n"/>
      <c r="C16" s="413" t="n"/>
      <c r="D16" s="413" t="n"/>
      <c r="E16" s="413" t="n"/>
      <c r="F16" s="414">
        <f>SUM(F14:F15)</f>
        <v/>
      </c>
      <c r="G16" s="414">
        <f>SUM(G14:G15)</f>
        <v/>
      </c>
      <c r="H16" s="414">
        <f>SUM(H14:H15)</f>
        <v/>
      </c>
      <c r="I16" s="413" t="n"/>
      <c r="J16" s="413" t="n"/>
      <c r="K16" s="413" t="n"/>
    </row>
    <row r="18">
      <c r="A18" s="242" t="inlineStr">
        <is>
          <t>MATERIEEL (dagtarief)</t>
        </is>
      </c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</row>
    <row r="19">
      <c r="A19" s="244" t="inlineStr">
        <is>
          <t>RR-combinatie (2 man)</t>
        </is>
      </c>
      <c r="B19" s="244" t="inlineStr">
        <is>
          <t>MATERIEEL</t>
        </is>
      </c>
      <c r="C19" s="259" t="inlineStr">
        <is>
          <t>dag</t>
        </is>
      </c>
      <c r="D19" s="306" t="n"/>
      <c r="E19" s="410" t="n">
        <v>2785.1</v>
      </c>
      <c r="F19" s="411">
        <f>D19*E19</f>
        <v/>
      </c>
      <c r="G19" s="410" t="n"/>
      <c r="H19" s="411">
        <f>F19-G19</f>
        <v/>
      </c>
      <c r="I19" s="412">
        <f>IF(F19=0,"",G19/F19)</f>
        <v/>
      </c>
      <c r="J19" s="388" t="n"/>
      <c r="K19" s="388" t="n"/>
    </row>
    <row r="20">
      <c r="A20" s="244" t="inlineStr">
        <is>
          <t>Hogedrukwagen (2 man)</t>
        </is>
      </c>
      <c r="B20" s="244" t="inlineStr">
        <is>
          <t>MATERIEEL</t>
        </is>
      </c>
      <c r="C20" s="259" t="inlineStr">
        <is>
          <t>dag</t>
        </is>
      </c>
      <c r="D20" s="306" t="n"/>
      <c r="E20" s="410" t="n">
        <v>2050.27</v>
      </c>
      <c r="F20" s="411">
        <f>D20*E20</f>
        <v/>
      </c>
      <c r="G20" s="410" t="n"/>
      <c r="H20" s="411">
        <f>F20-G20</f>
        <v/>
      </c>
      <c r="I20" s="412">
        <f>IF(F20=0,"",G20/F20)</f>
        <v/>
      </c>
      <c r="J20" s="388" t="n"/>
      <c r="K20" s="388" t="n"/>
    </row>
    <row r="21">
      <c r="A21" s="244" t="inlineStr">
        <is>
          <t>Vacuümwagen (2 man)</t>
        </is>
      </c>
      <c r="B21" s="244" t="inlineStr">
        <is>
          <t>MATERIEEL</t>
        </is>
      </c>
      <c r="C21" s="259" t="inlineStr">
        <is>
          <t>dag</t>
        </is>
      </c>
      <c r="D21" s="306" t="n"/>
      <c r="E21" s="410" t="n">
        <v>2036.66</v>
      </c>
      <c r="F21" s="411">
        <f>D21*E21</f>
        <v/>
      </c>
      <c r="G21" s="410" t="n"/>
      <c r="H21" s="411">
        <f>F21-G21</f>
        <v/>
      </c>
      <c r="I21" s="412">
        <f>IF(F21=0,"",G21/F21)</f>
        <v/>
      </c>
      <c r="J21" s="388" t="n"/>
      <c r="K21" s="388" t="n"/>
    </row>
    <row r="22">
      <c r="A22" s="244" t="inlineStr">
        <is>
          <t>Combi (2 man)</t>
        </is>
      </c>
      <c r="B22" s="244" t="inlineStr">
        <is>
          <t>MATERIEEL</t>
        </is>
      </c>
      <c r="C22" s="259" t="inlineStr">
        <is>
          <t>dag</t>
        </is>
      </c>
      <c r="D22" s="306" t="n"/>
      <c r="E22" s="410" t="n">
        <v>2417.69</v>
      </c>
      <c r="F22" s="411">
        <f>D22*E22</f>
        <v/>
      </c>
      <c r="G22" s="410" t="n"/>
      <c r="H22" s="411">
        <f>F22-G22</f>
        <v/>
      </c>
      <c r="I22" s="412">
        <f>IF(F22=0,"",G22/F22)</f>
        <v/>
      </c>
      <c r="J22" s="388" t="n"/>
      <c r="K22" s="388" t="n"/>
    </row>
    <row r="23">
      <c r="A23" s="244" t="inlineStr">
        <is>
          <t>Inspectie-unit conventioneel (2 man)</t>
        </is>
      </c>
      <c r="B23" s="244" t="inlineStr">
        <is>
          <t>MATERIEEL</t>
        </is>
      </c>
      <c r="C23" s="259" t="inlineStr">
        <is>
          <t>dag</t>
        </is>
      </c>
      <c r="D23" s="306" t="n"/>
      <c r="E23" s="410" t="n">
        <v>2340.58</v>
      </c>
      <c r="F23" s="411">
        <f>D23*E23</f>
        <v/>
      </c>
      <c r="G23" s="410" t="n"/>
      <c r="H23" s="411">
        <f>F23-G23</f>
        <v/>
      </c>
      <c r="I23" s="412">
        <f>IF(F23=0,"",G23/F23)</f>
        <v/>
      </c>
      <c r="J23" s="388" t="n"/>
      <c r="K23" s="388" t="n"/>
    </row>
    <row r="24">
      <c r="A24" s="244" t="inlineStr">
        <is>
          <t>Inspectie-unit Pano (2 man)</t>
        </is>
      </c>
      <c r="B24" s="244" t="inlineStr">
        <is>
          <t>MATERIEEL</t>
        </is>
      </c>
      <c r="C24" s="259" t="inlineStr">
        <is>
          <t>dag</t>
        </is>
      </c>
      <c r="D24" s="306" t="n"/>
      <c r="E24" s="410" t="n">
        <v>2821.39</v>
      </c>
      <c r="F24" s="411">
        <f>D24*E24</f>
        <v/>
      </c>
      <c r="G24" s="410" t="n"/>
      <c r="H24" s="411">
        <f>F24-G24</f>
        <v/>
      </c>
      <c r="I24" s="412">
        <f>IF(F24=0,"",G24/F24)</f>
        <v/>
      </c>
      <c r="J24" s="388" t="n"/>
      <c r="K24" s="388" t="n"/>
    </row>
    <row r="25">
      <c r="A25" s="244" t="inlineStr">
        <is>
          <t>Robotfrees-unit (2 man)</t>
        </is>
      </c>
      <c r="B25" s="244" t="inlineStr">
        <is>
          <t>MATERIEEL</t>
        </is>
      </c>
      <c r="C25" s="259" t="inlineStr">
        <is>
          <t>dag</t>
        </is>
      </c>
      <c r="D25" s="306" t="n"/>
      <c r="E25" s="410" t="n">
        <v>2399.54</v>
      </c>
      <c r="F25" s="411">
        <f>D25*E25</f>
        <v/>
      </c>
      <c r="G25" s="410" t="n"/>
      <c r="H25" s="411">
        <f>F25-G25</f>
        <v/>
      </c>
      <c r="I25" s="412">
        <f>IF(F25=0,"",G25/F25)</f>
        <v/>
      </c>
      <c r="J25" s="388" t="n"/>
      <c r="K25" s="388" t="n"/>
    </row>
    <row r="26">
      <c r="A26" s="244" t="inlineStr">
        <is>
          <t>Wortelfrees</t>
        </is>
      </c>
      <c r="B26" s="244" t="inlineStr">
        <is>
          <t>MATERIEEL</t>
        </is>
      </c>
      <c r="C26" s="259" t="inlineStr">
        <is>
          <t>dag</t>
        </is>
      </c>
      <c r="D26" s="306" t="n"/>
      <c r="E26" s="410" t="n">
        <v>802.87</v>
      </c>
      <c r="F26" s="411">
        <f>D26*E26</f>
        <v/>
      </c>
      <c r="G26" s="410" t="n"/>
      <c r="H26" s="411">
        <f>F26-G26</f>
        <v/>
      </c>
      <c r="I26" s="412">
        <f>IF(F26=0,"",G26/F26)</f>
        <v/>
      </c>
      <c r="J26" s="388" t="n"/>
      <c r="K26" s="388" t="n"/>
    </row>
    <row r="27">
      <c r="A27" s="244" t="inlineStr">
        <is>
          <t>Transportbus</t>
        </is>
      </c>
      <c r="B27" s="244" t="inlineStr">
        <is>
          <t>MATERIEEL</t>
        </is>
      </c>
      <c r="C27" s="259" t="inlineStr">
        <is>
          <t>dag</t>
        </is>
      </c>
      <c r="D27" s="306" t="n"/>
      <c r="E27" s="410" t="n">
        <v>222.26</v>
      </c>
      <c r="F27" s="411">
        <f>D27*E27</f>
        <v/>
      </c>
      <c r="G27" s="410" t="n"/>
      <c r="H27" s="411">
        <f>F27-G27</f>
        <v/>
      </c>
      <c r="I27" s="412">
        <f>IF(F27=0,"",G27/F27)</f>
        <v/>
      </c>
      <c r="J27" s="388" t="n"/>
      <c r="K27" s="388" t="n"/>
    </row>
    <row r="28">
      <c r="A28" s="367" t="inlineStr">
        <is>
          <t>Subtotaal MATERIEEL</t>
        </is>
      </c>
      <c r="B28" s="413" t="n"/>
      <c r="C28" s="413" t="n"/>
      <c r="D28" s="413" t="n"/>
      <c r="E28" s="413" t="n"/>
      <c r="F28" s="414">
        <f>SUM(F19:F27)</f>
        <v/>
      </c>
      <c r="G28" s="414">
        <f>SUM(G19:G27)</f>
        <v/>
      </c>
      <c r="H28" s="414">
        <f>SUM(H19:H27)</f>
        <v/>
      </c>
      <c r="I28" s="413" t="n"/>
      <c r="J28" s="413" t="n"/>
      <c r="K28" s="413" t="n"/>
    </row>
    <row r="30">
      <c r="A30" s="242" t="inlineStr">
        <is>
          <t>PLOEGEN (dagprijs)</t>
        </is>
      </c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</row>
    <row r="31">
      <c r="A31" s="244" t="inlineStr">
        <is>
          <t>Viltploeg water chip (4 man)</t>
        </is>
      </c>
      <c r="B31" s="244" t="inlineStr">
        <is>
          <t>PLOEGEN</t>
        </is>
      </c>
      <c r="C31" s="259" t="inlineStr">
        <is>
          <t>dag</t>
        </is>
      </c>
      <c r="D31" s="306" t="n"/>
      <c r="E31" s="410" t="n">
        <v>6510</v>
      </c>
      <c r="F31" s="411">
        <f>D31*E31</f>
        <v/>
      </c>
      <c r="G31" s="410" t="n"/>
      <c r="H31" s="411">
        <f>F31-G31</f>
        <v/>
      </c>
      <c r="I31" s="412">
        <f>IF(F31=0,"",G31/F31)</f>
        <v/>
      </c>
      <c r="J31" s="388" t="n"/>
      <c r="K31" s="388" t="n"/>
    </row>
    <row r="32">
      <c r="A32" s="244" t="inlineStr">
        <is>
          <t>Viltploeg water steiger (6 man)</t>
        </is>
      </c>
      <c r="B32" s="244" t="inlineStr">
        <is>
          <t>PLOEGEN</t>
        </is>
      </c>
      <c r="C32" s="259" t="inlineStr">
        <is>
          <t>dag</t>
        </is>
      </c>
      <c r="D32" s="306" t="n"/>
      <c r="E32" s="410" t="n">
        <v>7980</v>
      </c>
      <c r="F32" s="411">
        <f>D32*E32</f>
        <v/>
      </c>
      <c r="G32" s="410" t="n"/>
      <c r="H32" s="411">
        <f>F32-G32</f>
        <v/>
      </c>
      <c r="I32" s="412">
        <f>IF(F32=0,"",G32/F32)</f>
        <v/>
      </c>
      <c r="J32" s="388" t="n"/>
      <c r="K32" s="388" t="n"/>
    </row>
    <row r="33">
      <c r="A33" s="244" t="inlineStr">
        <is>
          <t>Viltploeg stoom drukvat (4 man)</t>
        </is>
      </c>
      <c r="B33" s="244" t="inlineStr">
        <is>
          <t>PLOEGEN</t>
        </is>
      </c>
      <c r="C33" s="259" t="inlineStr">
        <is>
          <t>dag</t>
        </is>
      </c>
      <c r="D33" s="306" t="n"/>
      <c r="E33" s="410" t="n">
        <v>6510</v>
      </c>
      <c r="F33" s="411">
        <f>D33*E33</f>
        <v/>
      </c>
      <c r="G33" s="410" t="n"/>
      <c r="H33" s="411">
        <f>F33-G33</f>
        <v/>
      </c>
      <c r="I33" s="412">
        <f>IF(F33=0,"",G33/F33)</f>
        <v/>
      </c>
      <c r="J33" s="388" t="n"/>
      <c r="K33" s="388" t="n"/>
    </row>
    <row r="34">
      <c r="A34" s="244" t="inlineStr">
        <is>
          <t>Viltploeg stoom DGA (6 man)</t>
        </is>
      </c>
      <c r="B34" s="244" t="inlineStr">
        <is>
          <t>PLOEGEN</t>
        </is>
      </c>
      <c r="C34" s="259" t="inlineStr">
        <is>
          <t>dag</t>
        </is>
      </c>
      <c r="D34" s="306" t="n"/>
      <c r="E34" s="410" t="n">
        <v>7980</v>
      </c>
      <c r="F34" s="411">
        <f>D34*E34</f>
        <v/>
      </c>
      <c r="G34" s="410" t="n"/>
      <c r="H34" s="411">
        <f>F34-G34</f>
        <v/>
      </c>
      <c r="I34" s="412">
        <f>IF(F34=0,"",G34/F34)</f>
        <v/>
      </c>
      <c r="J34" s="388" t="n"/>
      <c r="K34" s="388" t="n"/>
    </row>
    <row r="35">
      <c r="A35" s="244" t="inlineStr">
        <is>
          <t>UV-ploeg (4 man)</t>
        </is>
      </c>
      <c r="B35" s="244" t="inlineStr">
        <is>
          <t>PLOEGEN</t>
        </is>
      </c>
      <c r="C35" s="259" t="inlineStr">
        <is>
          <t>dag</t>
        </is>
      </c>
      <c r="D35" s="306" t="n"/>
      <c r="E35" s="410" t="n">
        <v>6300</v>
      </c>
      <c r="F35" s="411">
        <f>D35*E35</f>
        <v/>
      </c>
      <c r="G35" s="410" t="n"/>
      <c r="H35" s="411">
        <f>F35-G35</f>
        <v/>
      </c>
      <c r="I35" s="412">
        <f>IF(F35=0,"",G35/F35)</f>
        <v/>
      </c>
      <c r="J35" s="388" t="n"/>
      <c r="K35" s="388" t="n"/>
    </row>
    <row r="36">
      <c r="A36" s="244" t="inlineStr">
        <is>
          <t>Inzet koolbak</t>
        </is>
      </c>
      <c r="B36" s="244" t="inlineStr">
        <is>
          <t>PLOEGEN</t>
        </is>
      </c>
      <c r="C36" s="259" t="inlineStr">
        <is>
          <t>dag</t>
        </is>
      </c>
      <c r="D36" s="306" t="n"/>
      <c r="E36" s="410" t="n">
        <v>262.5</v>
      </c>
      <c r="F36" s="411">
        <f>D36*E36</f>
        <v/>
      </c>
      <c r="G36" s="410" t="n"/>
      <c r="H36" s="411">
        <f>F36-G36</f>
        <v/>
      </c>
      <c r="I36" s="412">
        <f>IF(F36=0,"",G36/F36)</f>
        <v/>
      </c>
      <c r="J36" s="388" t="n"/>
      <c r="K36" s="388" t="n"/>
    </row>
    <row r="37">
      <c r="A37" s="244" t="inlineStr">
        <is>
          <t>Dikmans extra incl. man</t>
        </is>
      </c>
      <c r="B37" s="244" t="inlineStr">
        <is>
          <t>PLOEGEN</t>
        </is>
      </c>
      <c r="C37" s="259" t="inlineStr">
        <is>
          <t>dag</t>
        </is>
      </c>
      <c r="D37" s="306" t="n"/>
      <c r="E37" s="410" t="n">
        <v>2100</v>
      </c>
      <c r="F37" s="411">
        <f>D37*E37</f>
        <v/>
      </c>
      <c r="G37" s="410" t="n"/>
      <c r="H37" s="411">
        <f>F37-G37</f>
        <v/>
      </c>
      <c r="I37" s="412">
        <f>IF(F37=0,"",G37/F37)</f>
        <v/>
      </c>
      <c r="J37" s="388" t="n"/>
      <c r="K37" s="388" t="n"/>
    </row>
    <row r="38">
      <c r="A38" s="367" t="inlineStr">
        <is>
          <t>Subtotaal PLOEGEN</t>
        </is>
      </c>
      <c r="B38" s="413" t="n"/>
      <c r="C38" s="413" t="n"/>
      <c r="D38" s="413" t="n"/>
      <c r="E38" s="413" t="n"/>
      <c r="F38" s="414">
        <f>SUM(F31:F37)</f>
        <v/>
      </c>
      <c r="G38" s="414">
        <f>SUM(G31:G37)</f>
        <v/>
      </c>
      <c r="H38" s="414">
        <f>SUM(H31:H37)</f>
        <v/>
      </c>
      <c r="I38" s="413" t="n"/>
      <c r="J38" s="413" t="n"/>
      <c r="K38" s="413" t="n"/>
    </row>
    <row r="40">
      <c r="A40" s="242" t="inlineStr">
        <is>
          <t>PERSONEEL (uurtarief)</t>
        </is>
      </c>
      <c r="B40" s="243" t="n"/>
      <c r="C40" s="243" t="n"/>
      <c r="D40" s="243" t="n"/>
      <c r="E40" s="243" t="n"/>
      <c r="F40" s="243" t="n"/>
      <c r="G40" s="243" t="n"/>
      <c r="H40" s="243" t="n"/>
      <c r="I40" s="243" t="n"/>
      <c r="J40" s="243" t="n"/>
      <c r="K40" s="243" t="n"/>
    </row>
    <row r="41">
      <c r="A41" s="244" t="inlineStr">
        <is>
          <t>Werkvoorbereider</t>
        </is>
      </c>
      <c r="B41" s="244" t="inlineStr">
        <is>
          <t>PERSONEEL</t>
        </is>
      </c>
      <c r="C41" s="259" t="inlineStr">
        <is>
          <t>uur</t>
        </is>
      </c>
      <c r="D41" s="306" t="n"/>
      <c r="E41" s="410" t="n">
        <v>89.25</v>
      </c>
      <c r="F41" s="411">
        <f>D41*E41</f>
        <v/>
      </c>
      <c r="G41" s="410" t="n"/>
      <c r="H41" s="411">
        <f>F41-G41</f>
        <v/>
      </c>
      <c r="I41" s="412">
        <f>IF(F41=0,"",G41/F41)</f>
        <v/>
      </c>
      <c r="J41" s="388" t="n"/>
      <c r="K41" s="388" t="n"/>
    </row>
    <row r="42">
      <c r="A42" s="244" t="inlineStr">
        <is>
          <t>Uitvoerder</t>
        </is>
      </c>
      <c r="B42" s="244" t="inlineStr">
        <is>
          <t>PERSONEEL</t>
        </is>
      </c>
      <c r="C42" s="259" t="inlineStr">
        <is>
          <t>uur</t>
        </is>
      </c>
      <c r="D42" s="306" t="n"/>
      <c r="E42" s="410" t="n">
        <v>89.25</v>
      </c>
      <c r="F42" s="411">
        <f>D42*E42</f>
        <v/>
      </c>
      <c r="G42" s="410" t="n"/>
      <c r="H42" s="411">
        <f>F42-G42</f>
        <v/>
      </c>
      <c r="I42" s="412">
        <f>IF(F42=0,"",G42/F42)</f>
        <v/>
      </c>
      <c r="J42" s="388" t="n"/>
      <c r="K42" s="388" t="n"/>
    </row>
    <row r="43">
      <c r="A43" s="244" t="inlineStr">
        <is>
          <t>Projectleider</t>
        </is>
      </c>
      <c r="B43" s="244" t="inlineStr">
        <is>
          <t>PERSONEEL</t>
        </is>
      </c>
      <c r="C43" s="259" t="inlineStr">
        <is>
          <t>uur</t>
        </is>
      </c>
      <c r="D43" s="306" t="n"/>
      <c r="E43" s="410" t="n">
        <v>115.5</v>
      </c>
      <c r="F43" s="411">
        <f>D43*E43</f>
        <v/>
      </c>
      <c r="G43" s="410" t="n"/>
      <c r="H43" s="411">
        <f>F43-G43</f>
        <v/>
      </c>
      <c r="I43" s="412">
        <f>IF(F43=0,"",G43/F43)</f>
        <v/>
      </c>
      <c r="J43" s="388" t="n"/>
      <c r="K43" s="388" t="n"/>
    </row>
    <row r="44">
      <c r="A44" s="244" t="inlineStr">
        <is>
          <t>Calculator</t>
        </is>
      </c>
      <c r="B44" s="244" t="inlineStr">
        <is>
          <t>PERSONEEL</t>
        </is>
      </c>
      <c r="C44" s="259" t="inlineStr">
        <is>
          <t>uur</t>
        </is>
      </c>
      <c r="D44" s="306" t="n"/>
      <c r="E44" s="410" t="n">
        <v>89.25</v>
      </c>
      <c r="F44" s="411">
        <f>D44*E44</f>
        <v/>
      </c>
      <c r="G44" s="410" t="n"/>
      <c r="H44" s="411">
        <f>F44-G44</f>
        <v/>
      </c>
      <c r="I44" s="412">
        <f>IF(F44=0,"",G44/F44)</f>
        <v/>
      </c>
      <c r="J44" s="388" t="n"/>
      <c r="K44" s="388" t="n"/>
    </row>
    <row r="45">
      <c r="A45" s="244" t="inlineStr">
        <is>
          <t>Manuren rapporteur</t>
        </is>
      </c>
      <c r="B45" s="244" t="inlineStr">
        <is>
          <t>PERSONEEL</t>
        </is>
      </c>
      <c r="C45" s="259" t="inlineStr">
        <is>
          <t>uur</t>
        </is>
      </c>
      <c r="D45" s="306" t="n"/>
      <c r="E45" s="410" t="n">
        <v>86</v>
      </c>
      <c r="F45" s="411">
        <f>D45*E45</f>
        <v/>
      </c>
      <c r="G45" s="410" t="n"/>
      <c r="H45" s="411">
        <f>F45-G45</f>
        <v/>
      </c>
      <c r="I45" s="412">
        <f>IF(F45=0,"",G45/F45)</f>
        <v/>
      </c>
      <c r="J45" s="388" t="n"/>
      <c r="K45" s="388" t="n"/>
    </row>
    <row r="46">
      <c r="A46" s="244" t="inlineStr">
        <is>
          <t>Manuren operationeel personeel</t>
        </is>
      </c>
      <c r="B46" s="244" t="inlineStr">
        <is>
          <t>PERSONEEL</t>
        </is>
      </c>
      <c r="C46" s="259" t="inlineStr">
        <is>
          <t>uur</t>
        </is>
      </c>
      <c r="D46" s="306" t="n"/>
      <c r="E46" s="410" t="n">
        <v>75</v>
      </c>
      <c r="F46" s="411">
        <f>D46*E46</f>
        <v/>
      </c>
      <c r="G46" s="410" t="n"/>
      <c r="H46" s="411">
        <f>F46-G46</f>
        <v/>
      </c>
      <c r="I46" s="412">
        <f>IF(F46=0,"",G46/F46)</f>
        <v/>
      </c>
      <c r="J46" s="388" t="n"/>
      <c r="K46" s="388" t="n"/>
    </row>
    <row r="47">
      <c r="A47" s="367" t="inlineStr">
        <is>
          <t>Subtotaal PERSONEEL</t>
        </is>
      </c>
      <c r="B47" s="413" t="n"/>
      <c r="C47" s="413" t="n"/>
      <c r="D47" s="413" t="n"/>
      <c r="E47" s="413" t="n"/>
      <c r="F47" s="414">
        <f>SUM(F41:F46)</f>
        <v/>
      </c>
      <c r="G47" s="414">
        <f>SUM(G41:G46)</f>
        <v/>
      </c>
      <c r="H47" s="414">
        <f>SUM(H41:H46)</f>
        <v/>
      </c>
      <c r="I47" s="413" t="n"/>
      <c r="J47" s="413" t="n"/>
      <c r="K47" s="413" t="n"/>
    </row>
    <row r="49">
      <c r="A49" s="242" t="inlineStr">
        <is>
          <t>ONDERAANNEMING / OVERIG</t>
        </is>
      </c>
      <c r="B49" s="243" t="n"/>
      <c r="C49" s="243" t="n"/>
      <c r="D49" s="243" t="n"/>
      <c r="E49" s="243" t="n"/>
      <c r="F49" s="243" t="n"/>
      <c r="G49" s="243" t="n"/>
      <c r="H49" s="243" t="n"/>
      <c r="I49" s="243" t="n"/>
      <c r="J49" s="243" t="n"/>
      <c r="K49" s="243" t="n"/>
    </row>
    <row r="50">
      <c r="A50" s="244" t="inlineStr">
        <is>
          <t>Stortkosten RKG-slib</t>
        </is>
      </c>
      <c r="B50" s="244" t="inlineStr">
        <is>
          <t>ONDERAANNEMING / OVERIG</t>
        </is>
      </c>
      <c r="C50" s="259" t="inlineStr">
        <is>
          <t>ton</t>
        </is>
      </c>
      <c r="D50" s="306" t="n"/>
      <c r="E50" s="410" t="n">
        <v>98.5</v>
      </c>
      <c r="F50" s="411">
        <f>D50*E50</f>
        <v/>
      </c>
      <c r="G50" s="410" t="n"/>
      <c r="H50" s="411">
        <f>F50-G50</f>
        <v/>
      </c>
      <c r="I50" s="412">
        <f>IF(F50=0,"",G50/F50)</f>
        <v/>
      </c>
      <c r="J50" s="388" t="n"/>
      <c r="K50" s="388" t="n"/>
    </row>
    <row r="51">
      <c r="A51" s="244" t="inlineStr">
        <is>
          <t>Opstellen werkvergunning</t>
        </is>
      </c>
      <c r="B51" s="244" t="inlineStr">
        <is>
          <t>ONDERAANNEMING / OVERIG</t>
        </is>
      </c>
      <c r="C51" s="259" t="inlineStr">
        <is>
          <t>werk</t>
        </is>
      </c>
      <c r="D51" s="306" t="n"/>
      <c r="E51" s="410" t="n"/>
      <c r="F51" s="411">
        <f>D51*E51</f>
        <v/>
      </c>
      <c r="G51" s="410" t="n"/>
      <c r="H51" s="411">
        <f>F51-G51</f>
        <v/>
      </c>
      <c r="I51" s="412">
        <f>IF(F51=0,"",G51/F51)</f>
        <v/>
      </c>
      <c r="J51" s="388" t="n"/>
      <c r="K51" s="388" t="n"/>
    </row>
    <row r="52">
      <c r="A52" s="244" t="inlineStr">
        <is>
          <t>Safety-unit</t>
        </is>
      </c>
      <c r="B52" s="244" t="inlineStr">
        <is>
          <t>ONDERAANNEMING / OVERIG</t>
        </is>
      </c>
      <c r="C52" s="259" t="inlineStr">
        <is>
          <t>dag</t>
        </is>
      </c>
      <c r="D52" s="306" t="n"/>
      <c r="E52" s="410" t="n"/>
      <c r="F52" s="411">
        <f>D52*E52</f>
        <v/>
      </c>
      <c r="G52" s="410" t="n"/>
      <c r="H52" s="411">
        <f>F52-G52</f>
        <v/>
      </c>
      <c r="I52" s="412">
        <f>IF(F52=0,"",G52/F52)</f>
        <v/>
      </c>
      <c r="J52" s="388" t="n"/>
      <c r="K52" s="388" t="n"/>
    </row>
    <row r="53">
      <c r="A53" s="244" t="inlineStr">
        <is>
          <t>Borden-wagen</t>
        </is>
      </c>
      <c r="B53" s="244" t="inlineStr">
        <is>
          <t>ONDERAANNEMING / OVERIG</t>
        </is>
      </c>
      <c r="C53" s="259" t="inlineStr">
        <is>
          <t>dag</t>
        </is>
      </c>
      <c r="D53" s="306" t="n"/>
      <c r="E53" s="410" t="n"/>
      <c r="F53" s="411">
        <f>D53*E53</f>
        <v/>
      </c>
      <c r="G53" s="410" t="n"/>
      <c r="H53" s="411">
        <f>F53-G53</f>
        <v/>
      </c>
      <c r="I53" s="412">
        <f>IF(F53=0,"",G53/F53)</f>
        <v/>
      </c>
      <c r="J53" s="388" t="n"/>
      <c r="K53" s="388" t="n"/>
    </row>
    <row r="54">
      <c r="A54" s="244" t="inlineStr">
        <is>
          <t>Stelpost / onvoorzien</t>
        </is>
      </c>
      <c r="B54" s="244" t="inlineStr">
        <is>
          <t>ONDERAANNEMING / OVERIG</t>
        </is>
      </c>
      <c r="C54" s="259" t="inlineStr">
        <is>
          <t>post</t>
        </is>
      </c>
      <c r="D54" s="306" t="n"/>
      <c r="E54" s="410" t="n"/>
      <c r="F54" s="411">
        <f>D54*E54</f>
        <v/>
      </c>
      <c r="G54" s="410" t="n"/>
      <c r="H54" s="411">
        <f>F54-G54</f>
        <v/>
      </c>
      <c r="I54" s="412">
        <f>IF(F54=0,"",G54/F54)</f>
        <v/>
      </c>
      <c r="J54" s="388" t="n"/>
      <c r="K54" s="388" t="n"/>
    </row>
    <row r="55">
      <c r="A55" s="367" t="inlineStr">
        <is>
          <t>Subtotaal ONDERAANNEMING / OVERIG</t>
        </is>
      </c>
      <c r="B55" s="413" t="n"/>
      <c r="C55" s="413" t="n"/>
      <c r="D55" s="413" t="n"/>
      <c r="E55" s="413" t="n"/>
      <c r="F55" s="414">
        <f>SUM(F50:F54)</f>
        <v/>
      </c>
      <c r="G55" s="414">
        <f>SUM(G50:G54)</f>
        <v/>
      </c>
      <c r="H55" s="414">
        <f>SUM(H50:H54)</f>
        <v/>
      </c>
      <c r="I55" s="413" t="n"/>
      <c r="J55" s="413" t="n"/>
      <c r="K55" s="413" t="n"/>
    </row>
    <row r="57">
      <c r="A57" s="415" t="inlineStr">
        <is>
          <t>TOTAAL</t>
        </is>
      </c>
      <c r="B57" s="415" t="n"/>
      <c r="C57" s="415" t="n"/>
      <c r="D57" s="415" t="n"/>
      <c r="E57" s="415" t="n"/>
      <c r="F57" s="416">
        <f>F16+F28+F38+F47+F55</f>
        <v/>
      </c>
      <c r="G57" s="416">
        <f>G16+G28+G38+G47+G55</f>
        <v/>
      </c>
      <c r="H57" s="416">
        <f>H16+H28+H38+H47+H55</f>
        <v/>
      </c>
      <c r="I57" s="415" t="n"/>
      <c r="J57" s="415" t="n"/>
      <c r="K57" s="4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zoomScale="85" zoomScaleNormal="85" workbookViewId="0">
      <pane ySplit="1" topLeftCell="A2" activePane="bottomLeft" state="frozen"/>
      <selection pane="bottomLeft"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71" t="inlineStr">
        <is>
          <t>SAERTEX-LINER© MULTI — Prijslijsten (geldig vanaf 9-5-2026, € per meter, netto)</t>
        </is>
      </c>
    </row>
    <row r="2">
      <c r="A2" s="386" t="inlineStr">
        <is>
          <t>Bron: SAERTEX multiCom GmbH. Tussenmaten: prijs van de eerstvolgende grotere maat. Betaling 30 dagen netto.</t>
        </is>
      </c>
    </row>
    <row r="3">
      <c r="A3" s="442" t="inlineStr">
        <is>
          <t>Indexering op deze prijslijst:</t>
        </is>
      </c>
      <c r="B3" s="443" t="n">
        <v>0</v>
      </c>
      <c r="C3" s="422" t="inlineStr">
        <is>
          <t>(bijv. 3,5% = prijzen +3,5% t.o.v. lijst 9-5-2026)</t>
        </is>
      </c>
    </row>
    <row r="4">
      <c r="A4" s="419" t="inlineStr">
        <is>
          <t>SAERTEX-LINER MULTI Typ S+ Standard — rond (UP-hars)</t>
        </is>
      </c>
    </row>
    <row r="5" ht="16" customHeight="1">
      <c r="A5" s="315" t="inlineStr">
        <is>
          <t>DN [mm]</t>
        </is>
      </c>
      <c r="B5" s="315" t="inlineStr">
        <is>
          <t>3 mm</t>
        </is>
      </c>
      <c r="C5" s="315" t="inlineStr">
        <is>
          <t>4 mm</t>
        </is>
      </c>
      <c r="D5" s="315" t="inlineStr">
        <is>
          <t>5 mm</t>
        </is>
      </c>
      <c r="E5" s="315" t="inlineStr">
        <is>
          <t>6 mm</t>
        </is>
      </c>
      <c r="F5" s="315" t="inlineStr">
        <is>
          <t>7 mm</t>
        </is>
      </c>
      <c r="G5" s="315" t="inlineStr">
        <is>
          <t>8 mm</t>
        </is>
      </c>
      <c r="H5" s="315" t="inlineStr">
        <is>
          <t>9 mm</t>
        </is>
      </c>
      <c r="I5" s="315" t="inlineStr">
        <is>
          <t>10 mm</t>
        </is>
      </c>
      <c r="J5" s="315" t="inlineStr">
        <is>
          <t>11 mm</t>
        </is>
      </c>
      <c r="K5" s="315" t="inlineStr">
        <is>
          <t>12 mm</t>
        </is>
      </c>
      <c r="L5" s="315" t="inlineStr">
        <is>
          <t>13 mm</t>
        </is>
      </c>
      <c r="M5" s="315" t="inlineStr">
        <is>
          <t>14 mm</t>
        </is>
      </c>
      <c r="N5" s="315" t="inlineStr">
        <is>
          <t>15 mm</t>
        </is>
      </c>
    </row>
    <row r="6">
      <c r="A6" s="384" t="inlineStr">
        <is>
          <t>150</t>
        </is>
      </c>
      <c r="B6" s="420" t="n">
        <v>69.39</v>
      </c>
      <c r="C6" s="420" t="n">
        <v>75.08</v>
      </c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</row>
    <row r="7">
      <c r="A7" s="384" t="inlineStr">
        <is>
          <t>200</t>
        </is>
      </c>
      <c r="B7" s="420" t="n">
        <v>71.17</v>
      </c>
      <c r="C7" s="420" t="n">
        <v>77.3</v>
      </c>
      <c r="D7" s="420" t="n">
        <v>85.08</v>
      </c>
      <c r="E7" s="420" t="n">
        <v>105.16</v>
      </c>
      <c r="F7" s="245" t="n"/>
      <c r="G7" s="245" t="n"/>
      <c r="H7" s="245" t="n"/>
      <c r="I7" s="245" t="n"/>
      <c r="J7" s="245" t="n"/>
      <c r="K7" s="245" t="n"/>
      <c r="L7" s="245" t="n"/>
      <c r="M7" s="245" t="n"/>
      <c r="N7" s="245" t="n"/>
    </row>
    <row r="8">
      <c r="A8" s="384" t="inlineStr">
        <is>
          <t>225</t>
        </is>
      </c>
      <c r="B8" s="420" t="n">
        <v>76.31</v>
      </c>
      <c r="C8" s="420" t="n">
        <v>83.53</v>
      </c>
      <c r="D8" s="420" t="n">
        <v>88.45</v>
      </c>
      <c r="E8" s="420" t="n">
        <v>108.73</v>
      </c>
      <c r="F8" s="245" t="n"/>
      <c r="G8" s="245" t="n"/>
      <c r="H8" s="245" t="n"/>
      <c r="I8" s="245" t="n"/>
      <c r="J8" s="245" t="n"/>
      <c r="K8" s="245" t="n"/>
      <c r="L8" s="245" t="n"/>
      <c r="M8" s="245" t="n"/>
      <c r="N8" s="245" t="n"/>
    </row>
    <row r="9">
      <c r="A9" s="384" t="inlineStr">
        <is>
          <t>250</t>
        </is>
      </c>
      <c r="B9" s="420" t="n">
        <v>81.5</v>
      </c>
      <c r="C9" s="420" t="n">
        <v>85.70999999999999</v>
      </c>
      <c r="D9" s="420" t="n">
        <v>94.61</v>
      </c>
      <c r="E9" s="420" t="n">
        <v>115.33</v>
      </c>
      <c r="F9" s="245" t="n"/>
      <c r="G9" s="245" t="n"/>
      <c r="H9" s="245" t="n"/>
      <c r="I9" s="245" t="n"/>
      <c r="J9" s="245" t="n"/>
      <c r="K9" s="245" t="n"/>
      <c r="L9" s="245" t="n"/>
      <c r="M9" s="245" t="n"/>
      <c r="N9" s="245" t="n"/>
    </row>
    <row r="10">
      <c r="A10" s="384" t="inlineStr">
        <is>
          <t>300</t>
        </is>
      </c>
      <c r="B10" s="420" t="n">
        <v>85.61</v>
      </c>
      <c r="C10" s="420" t="n">
        <v>100.11</v>
      </c>
      <c r="D10" s="420" t="n">
        <v>110.76</v>
      </c>
      <c r="E10" s="420" t="n">
        <v>134.4</v>
      </c>
      <c r="F10" s="245" t="n"/>
      <c r="G10" s="245" t="n"/>
      <c r="H10" s="245" t="n"/>
      <c r="I10" s="245" t="n"/>
      <c r="J10" s="245" t="n"/>
      <c r="K10" s="245" t="n"/>
      <c r="L10" s="245" t="n"/>
      <c r="M10" s="245" t="n"/>
      <c r="N10" s="245" t="n"/>
    </row>
    <row r="11">
      <c r="A11" s="384" t="inlineStr">
        <is>
          <t>350</t>
        </is>
      </c>
      <c r="B11" s="420" t="n">
        <v>105.56</v>
      </c>
      <c r="C11" s="420" t="n">
        <v>115.13</v>
      </c>
      <c r="D11" s="420" t="n">
        <v>127.65</v>
      </c>
      <c r="E11" s="420" t="n">
        <v>153.62</v>
      </c>
      <c r="F11" s="245" t="n"/>
      <c r="G11" s="245" t="n"/>
      <c r="H11" s="245" t="n"/>
      <c r="I11" s="245" t="n"/>
      <c r="J11" s="245" t="n"/>
      <c r="K11" s="245" t="n"/>
      <c r="L11" s="245" t="n"/>
      <c r="M11" s="245" t="n"/>
      <c r="N11" s="245" t="n"/>
    </row>
    <row r="12">
      <c r="A12" s="384" t="inlineStr">
        <is>
          <t>400</t>
        </is>
      </c>
      <c r="B12" s="420" t="n">
        <v>114.99</v>
      </c>
      <c r="C12" s="420" t="n">
        <v>126.74</v>
      </c>
      <c r="D12" s="420" t="n">
        <v>139.97</v>
      </c>
      <c r="E12" s="420" t="n">
        <v>169.69</v>
      </c>
      <c r="F12" s="420" t="n">
        <v>210.3</v>
      </c>
      <c r="G12" s="245" t="n"/>
      <c r="H12" s="245" t="n"/>
      <c r="I12" s="245" t="n"/>
      <c r="J12" s="245" t="n"/>
      <c r="K12" s="245" t="n"/>
      <c r="L12" s="245" t="n"/>
      <c r="M12" s="245" t="n"/>
      <c r="N12" s="245" t="n"/>
    </row>
    <row r="13">
      <c r="A13" s="384" t="inlineStr">
        <is>
          <t>450</t>
        </is>
      </c>
      <c r="B13" s="420" t="n">
        <v>125.69</v>
      </c>
      <c r="C13" s="420" t="n">
        <v>140.08</v>
      </c>
      <c r="D13" s="420" t="n">
        <v>155.82</v>
      </c>
      <c r="E13" s="420" t="n">
        <v>186.87</v>
      </c>
      <c r="F13" s="420" t="n">
        <v>232.83</v>
      </c>
      <c r="G13" s="245" t="n"/>
      <c r="H13" s="245" t="n"/>
      <c r="I13" s="245" t="n"/>
      <c r="J13" s="245" t="n"/>
      <c r="K13" s="245" t="n"/>
      <c r="L13" s="245" t="n"/>
      <c r="M13" s="245" t="n"/>
      <c r="N13" s="245" t="n"/>
    </row>
    <row r="14">
      <c r="A14" s="384" t="inlineStr">
        <is>
          <t>500</t>
        </is>
      </c>
      <c r="B14" s="420" t="n">
        <v>138.11</v>
      </c>
      <c r="C14" s="420" t="n">
        <v>154.73</v>
      </c>
      <c r="D14" s="420" t="n">
        <v>172.22</v>
      </c>
      <c r="E14" s="420" t="n">
        <v>206.76</v>
      </c>
      <c r="F14" s="420" t="n">
        <v>256.81</v>
      </c>
      <c r="G14" s="420" t="n">
        <v>285.29</v>
      </c>
      <c r="H14" s="245" t="n"/>
      <c r="I14" s="245" t="n"/>
      <c r="J14" s="245" t="n"/>
      <c r="K14" s="245" t="n"/>
      <c r="L14" s="245" t="n"/>
      <c r="M14" s="245" t="n"/>
      <c r="N14" s="245" t="n"/>
    </row>
    <row r="15">
      <c r="A15" s="384" t="inlineStr">
        <is>
          <t>550</t>
        </is>
      </c>
      <c r="B15" s="420" t="n">
        <v>145.63</v>
      </c>
      <c r="C15" s="420" t="n">
        <v>160.56</v>
      </c>
      <c r="D15" s="420" t="n">
        <v>184.88</v>
      </c>
      <c r="E15" s="420" t="n">
        <v>221.58</v>
      </c>
      <c r="F15" s="420" t="n">
        <v>275.91</v>
      </c>
      <c r="G15" s="420" t="n">
        <v>304.97</v>
      </c>
      <c r="H15" s="245" t="n"/>
      <c r="I15" s="245" t="n"/>
      <c r="J15" s="245" t="n"/>
      <c r="K15" s="245" t="n"/>
      <c r="L15" s="245" t="n"/>
      <c r="M15" s="245" t="n"/>
      <c r="N15" s="245" t="n"/>
    </row>
    <row r="16">
      <c r="A16" s="384" t="inlineStr">
        <is>
          <t>600</t>
        </is>
      </c>
      <c r="B16" s="420" t="n">
        <v>155.93</v>
      </c>
      <c r="C16" s="420" t="n">
        <v>177.28</v>
      </c>
      <c r="D16" s="420" t="n">
        <v>197.9</v>
      </c>
      <c r="E16" s="420" t="n">
        <v>236.88</v>
      </c>
      <c r="F16" s="420" t="n">
        <v>295.42</v>
      </c>
      <c r="G16" s="420" t="n">
        <v>324.65</v>
      </c>
      <c r="H16" s="245" t="n"/>
      <c r="I16" s="245" t="n"/>
      <c r="J16" s="245" t="n"/>
      <c r="K16" s="245" t="n"/>
      <c r="L16" s="245" t="n"/>
      <c r="M16" s="245" t="n"/>
      <c r="N16" s="245" t="n"/>
    </row>
    <row r="17">
      <c r="A17" s="384" t="inlineStr">
        <is>
          <t>650</t>
        </is>
      </c>
      <c r="B17" s="420" t="n">
        <v>172.11</v>
      </c>
      <c r="C17" s="420" t="n">
        <v>190.35</v>
      </c>
      <c r="D17" s="420" t="n">
        <v>209.48</v>
      </c>
      <c r="E17" s="420" t="n">
        <v>252.06</v>
      </c>
      <c r="F17" s="420" t="n">
        <v>314.91</v>
      </c>
      <c r="G17" s="420" t="n">
        <v>347.06</v>
      </c>
      <c r="H17" s="420" t="n">
        <v>382.48</v>
      </c>
      <c r="I17" s="245" t="n"/>
      <c r="J17" s="245" t="n"/>
      <c r="K17" s="245" t="n"/>
      <c r="L17" s="245" t="n"/>
      <c r="M17" s="245" t="n"/>
      <c r="N17" s="245" t="n"/>
    </row>
    <row r="18">
      <c r="A18" s="384" t="inlineStr">
        <is>
          <t>700</t>
        </is>
      </c>
      <c r="B18" s="245" t="n"/>
      <c r="C18" s="420" t="n">
        <v>209</v>
      </c>
      <c r="D18" s="420" t="n">
        <v>233.33</v>
      </c>
      <c r="E18" s="420" t="n">
        <v>277.93</v>
      </c>
      <c r="F18" s="420" t="n">
        <v>344.84</v>
      </c>
      <c r="G18" s="420" t="n">
        <v>379.58</v>
      </c>
      <c r="H18" s="420" t="n">
        <v>415.8</v>
      </c>
      <c r="I18" s="245" t="n"/>
      <c r="J18" s="245" t="n"/>
      <c r="K18" s="245" t="n"/>
      <c r="L18" s="245" t="n"/>
      <c r="M18" s="245" t="n"/>
      <c r="N18" s="245" t="n"/>
    </row>
    <row r="19">
      <c r="A19" s="384" t="inlineStr">
        <is>
          <t>750</t>
        </is>
      </c>
      <c r="B19" s="245" t="n"/>
      <c r="C19" s="420" t="n">
        <v>214.02</v>
      </c>
      <c r="D19" s="420" t="n">
        <v>246.99</v>
      </c>
      <c r="E19" s="420" t="n">
        <v>293.9</v>
      </c>
      <c r="F19" s="420" t="n">
        <v>360.04</v>
      </c>
      <c r="G19" s="420" t="n">
        <v>401.14</v>
      </c>
      <c r="H19" s="420" t="n">
        <v>439.3</v>
      </c>
      <c r="I19" s="245" t="n"/>
      <c r="J19" s="245" t="n"/>
      <c r="K19" s="245" t="n"/>
      <c r="L19" s="245" t="n"/>
      <c r="M19" s="245" t="n"/>
      <c r="N19" s="245" t="n"/>
    </row>
    <row r="20">
      <c r="A20" s="384" t="inlineStr">
        <is>
          <t>800</t>
        </is>
      </c>
      <c r="B20" s="245" t="n"/>
      <c r="C20" s="420" t="n">
        <v>241.59</v>
      </c>
      <c r="D20" s="420" t="n">
        <v>270.16</v>
      </c>
      <c r="E20" s="420" t="n">
        <v>319.19</v>
      </c>
      <c r="F20" s="420" t="n">
        <v>399.98</v>
      </c>
      <c r="G20" s="420" t="n">
        <v>438.87</v>
      </c>
      <c r="H20" s="420" t="n">
        <v>481.97</v>
      </c>
      <c r="I20" s="420" t="n">
        <v>539.8099999999999</v>
      </c>
      <c r="J20" s="245" t="n"/>
      <c r="K20" s="245" t="n"/>
      <c r="L20" s="245" t="n"/>
      <c r="M20" s="245" t="n"/>
      <c r="N20" s="245" t="n"/>
    </row>
    <row r="21">
      <c r="A21" s="384" t="inlineStr">
        <is>
          <t>850</t>
        </is>
      </c>
      <c r="B21" s="245" t="n"/>
      <c r="C21" s="420" t="n">
        <v>252.12</v>
      </c>
      <c r="D21" s="420" t="n">
        <v>283.15</v>
      </c>
      <c r="E21" s="420" t="n">
        <v>335.65</v>
      </c>
      <c r="F21" s="420" t="n">
        <v>418.2</v>
      </c>
      <c r="G21" s="420" t="n">
        <v>460.2</v>
      </c>
      <c r="H21" s="420" t="n">
        <v>502.2</v>
      </c>
      <c r="I21" s="420" t="n">
        <v>574.6900000000001</v>
      </c>
      <c r="J21" s="245" t="n"/>
      <c r="K21" s="245" t="n"/>
      <c r="L21" s="245" t="n"/>
      <c r="M21" s="245" t="n"/>
      <c r="N21" s="245" t="n"/>
    </row>
    <row r="22">
      <c r="A22" s="384" t="inlineStr">
        <is>
          <t>900</t>
        </is>
      </c>
      <c r="B22" s="245" t="n"/>
      <c r="C22" s="245" t="n"/>
      <c r="D22" s="420" t="n">
        <v>301.53</v>
      </c>
      <c r="E22" s="420" t="n">
        <v>355.99</v>
      </c>
      <c r="F22" s="420" t="n">
        <v>444.11</v>
      </c>
      <c r="G22" s="420" t="n">
        <v>489.41</v>
      </c>
      <c r="H22" s="420" t="n">
        <v>536.48</v>
      </c>
      <c r="I22" s="420" t="n">
        <v>612.79</v>
      </c>
      <c r="J22" s="420" t="n">
        <v>665.75</v>
      </c>
      <c r="K22" s="420" t="n">
        <v>746.89</v>
      </c>
      <c r="L22" s="245" t="n"/>
      <c r="M22" s="245" t="n"/>
      <c r="N22" s="245" t="n"/>
    </row>
    <row r="23">
      <c r="A23" s="384" t="inlineStr">
        <is>
          <t>950</t>
        </is>
      </c>
      <c r="B23" s="245" t="n"/>
      <c r="C23" s="245" t="n"/>
      <c r="D23" s="420" t="n">
        <v>314.42</v>
      </c>
      <c r="E23" s="420" t="n">
        <v>372.88</v>
      </c>
      <c r="F23" s="420" t="n">
        <v>472.1</v>
      </c>
      <c r="G23" s="420" t="n">
        <v>511.88</v>
      </c>
      <c r="H23" s="420" t="n">
        <v>573.3099999999999</v>
      </c>
      <c r="I23" s="420" t="n">
        <v>634.72</v>
      </c>
      <c r="J23" s="420" t="n">
        <v>699.73</v>
      </c>
      <c r="K23" s="420" t="n">
        <v>764.71</v>
      </c>
      <c r="L23" s="245" t="n"/>
      <c r="M23" s="245" t="n"/>
      <c r="N23" s="245" t="n"/>
    </row>
    <row r="24">
      <c r="A24" s="384" t="inlineStr">
        <is>
          <t>1000</t>
        </is>
      </c>
      <c r="B24" s="245" t="n"/>
      <c r="C24" s="245" t="n"/>
      <c r="D24" s="420" t="n">
        <v>322.27</v>
      </c>
      <c r="E24" s="420" t="n">
        <v>381.5</v>
      </c>
      <c r="F24" s="420" t="n">
        <v>479.82</v>
      </c>
      <c r="G24" s="420" t="n">
        <v>523.85</v>
      </c>
      <c r="H24" s="420" t="n">
        <v>574.72</v>
      </c>
      <c r="I24" s="420" t="n">
        <v>648.84</v>
      </c>
      <c r="J24" s="420" t="n">
        <v>710.52</v>
      </c>
      <c r="K24" s="420" t="n">
        <v>787.71</v>
      </c>
      <c r="L24" s="245" t="n"/>
      <c r="M24" s="245" t="n"/>
      <c r="N24" s="245" t="n"/>
    </row>
    <row r="25">
      <c r="A25" s="384" t="inlineStr">
        <is>
          <t>1050</t>
        </is>
      </c>
      <c r="B25" s="245" t="n"/>
      <c r="C25" s="245" t="n"/>
      <c r="D25" s="245" t="n"/>
      <c r="E25" s="420" t="n">
        <v>439.71</v>
      </c>
      <c r="F25" s="420" t="n">
        <v>501.07</v>
      </c>
      <c r="G25" s="420" t="n">
        <v>546.6</v>
      </c>
      <c r="H25" s="420" t="n">
        <v>623.02</v>
      </c>
      <c r="I25" s="420" t="n">
        <v>704.98</v>
      </c>
      <c r="J25" s="420" t="n">
        <v>738.8099999999999</v>
      </c>
      <c r="K25" s="420" t="n">
        <v>825.28</v>
      </c>
      <c r="L25" s="420" t="n">
        <v>838.4299999999999</v>
      </c>
      <c r="M25" s="245" t="n"/>
      <c r="N25" s="245" t="n"/>
    </row>
    <row r="26">
      <c r="A26" s="384" t="inlineStr">
        <is>
          <t>1100</t>
        </is>
      </c>
      <c r="B26" s="245" t="n"/>
      <c r="C26" s="245" t="n"/>
      <c r="D26" s="245" t="n"/>
      <c r="E26" s="420" t="n">
        <v>488.7</v>
      </c>
      <c r="F26" s="420" t="n">
        <v>553.75</v>
      </c>
      <c r="G26" s="420" t="n">
        <v>610.52</v>
      </c>
      <c r="H26" s="420" t="n">
        <v>679.96</v>
      </c>
      <c r="I26" s="420" t="n">
        <v>770.91</v>
      </c>
      <c r="J26" s="420" t="n">
        <v>820.62</v>
      </c>
      <c r="K26" s="420" t="n">
        <v>886.2</v>
      </c>
      <c r="L26" s="420" t="n">
        <v>951.78</v>
      </c>
      <c r="M26" s="245" t="n"/>
      <c r="N26" s="245" t="n"/>
    </row>
    <row r="27">
      <c r="A27" s="384" t="inlineStr">
        <is>
          <t>1150</t>
        </is>
      </c>
      <c r="B27" s="245" t="n"/>
      <c r="C27" s="245" t="n"/>
      <c r="D27" s="245" t="n"/>
      <c r="E27" s="420" t="n">
        <v>507.24</v>
      </c>
      <c r="F27" s="420" t="n">
        <v>574.73</v>
      </c>
      <c r="G27" s="420" t="n">
        <v>624.52</v>
      </c>
      <c r="H27" s="420" t="n">
        <v>700.88</v>
      </c>
      <c r="I27" s="420" t="n">
        <v>769.6900000000001</v>
      </c>
      <c r="J27" s="420" t="n">
        <v>849.6900000000001</v>
      </c>
      <c r="K27" s="420" t="n">
        <v>948.05</v>
      </c>
      <c r="L27" s="420" t="n">
        <v>988.6799999999999</v>
      </c>
      <c r="M27" s="420" t="n">
        <v>1065.07</v>
      </c>
      <c r="N27" s="420" t="n">
        <v>1141.43</v>
      </c>
    </row>
    <row r="28">
      <c r="A28" s="384" t="inlineStr">
        <is>
          <t>1200</t>
        </is>
      </c>
      <c r="B28" s="245" t="n"/>
      <c r="C28" s="245" t="n"/>
      <c r="D28" s="245" t="n"/>
      <c r="E28" s="420" t="n">
        <v>509.03</v>
      </c>
      <c r="F28" s="420" t="n">
        <v>576.72</v>
      </c>
      <c r="G28" s="420" t="n">
        <v>628.88</v>
      </c>
      <c r="H28" s="420" t="n">
        <v>698.8200000000001</v>
      </c>
      <c r="I28" s="420" t="n">
        <v>793.21</v>
      </c>
      <c r="J28" s="420" t="n">
        <v>850.78</v>
      </c>
      <c r="K28" s="420" t="n">
        <v>977.74</v>
      </c>
      <c r="L28" s="420" t="n">
        <v>992.89</v>
      </c>
      <c r="M28" s="420" t="n">
        <v>1086.61</v>
      </c>
      <c r="N28" s="420" t="n">
        <v>1149.36</v>
      </c>
    </row>
    <row r="29">
      <c r="A29" s="384" t="inlineStr">
        <is>
          <t>1250</t>
        </is>
      </c>
      <c r="B29" s="245" t="n"/>
      <c r="C29" s="245" t="n"/>
      <c r="D29" s="245" t="n"/>
      <c r="E29" s="245" t="n"/>
      <c r="F29" s="420" t="n">
        <v>596.66</v>
      </c>
      <c r="G29" s="420" t="n">
        <v>653.0700000000001</v>
      </c>
      <c r="H29" s="420" t="n">
        <v>717.4</v>
      </c>
      <c r="I29" s="420" t="n">
        <v>814.02</v>
      </c>
      <c r="J29" s="420" t="n">
        <v>878.58</v>
      </c>
      <c r="K29" s="420" t="n">
        <v>991.3</v>
      </c>
      <c r="L29" s="420" t="n">
        <v>1017.77</v>
      </c>
      <c r="M29" s="420" t="n">
        <v>1119.36</v>
      </c>
      <c r="N29" s="420" t="n">
        <v>1184.07</v>
      </c>
    </row>
    <row r="30">
      <c r="A30" s="384" t="inlineStr">
        <is>
          <t>1300</t>
        </is>
      </c>
      <c r="B30" s="245" t="n"/>
      <c r="C30" s="245" t="n"/>
      <c r="D30" s="245" t="n"/>
      <c r="E30" s="245" t="n"/>
      <c r="F30" s="420" t="n">
        <v>677.42</v>
      </c>
      <c r="G30" s="420" t="n">
        <v>745.97</v>
      </c>
      <c r="H30" s="420" t="n">
        <v>819.48</v>
      </c>
      <c r="I30" s="420" t="n">
        <v>917.21</v>
      </c>
      <c r="J30" s="420" t="n">
        <v>997.04</v>
      </c>
      <c r="K30" s="420" t="n">
        <v>1105</v>
      </c>
      <c r="L30" s="420" t="n">
        <v>1152.25</v>
      </c>
      <c r="M30" s="420" t="n">
        <v>1276.34</v>
      </c>
      <c r="N30" s="420" t="n">
        <v>1349.72</v>
      </c>
    </row>
    <row r="31">
      <c r="A31" s="384" t="inlineStr">
        <is>
          <t>1350</t>
        </is>
      </c>
      <c r="B31" s="245" t="n"/>
      <c r="C31" s="245" t="n"/>
      <c r="D31" s="245" t="n"/>
      <c r="E31" s="245" t="n"/>
      <c r="F31" s="420" t="n">
        <v>697.26</v>
      </c>
      <c r="G31" s="420" t="n">
        <v>765.15</v>
      </c>
      <c r="H31" s="420" t="n">
        <v>834.05</v>
      </c>
      <c r="I31" s="420" t="n">
        <v>945.8200000000001</v>
      </c>
      <c r="J31" s="420" t="n">
        <v>1030.79</v>
      </c>
      <c r="K31" s="420" t="n">
        <v>1115.73</v>
      </c>
      <c r="L31" s="420" t="n">
        <v>1186.26</v>
      </c>
      <c r="M31" s="420" t="n">
        <v>1322.86</v>
      </c>
      <c r="N31" s="420" t="n">
        <v>1398.49</v>
      </c>
    </row>
    <row r="32">
      <c r="A32" s="384" t="inlineStr">
        <is>
          <t>1400</t>
        </is>
      </c>
      <c r="B32" s="245" t="n"/>
      <c r="C32" s="245" t="n"/>
      <c r="D32" s="245" t="n"/>
      <c r="E32" s="245" t="n"/>
      <c r="F32" s="420" t="n">
        <v>762.71</v>
      </c>
      <c r="G32" s="420" t="n">
        <v>806.5599999999999</v>
      </c>
      <c r="H32" s="420" t="n">
        <v>919.76</v>
      </c>
      <c r="I32" s="420" t="n">
        <v>1027.33</v>
      </c>
      <c r="J32" s="420" t="n">
        <v>1058.94</v>
      </c>
      <c r="K32" s="420" t="n">
        <v>1208.21</v>
      </c>
      <c r="L32" s="420" t="n">
        <v>1308.73</v>
      </c>
      <c r="M32" s="420" t="n">
        <v>1409.25</v>
      </c>
      <c r="N32" s="420" t="n">
        <v>1492.24</v>
      </c>
    </row>
    <row r="33">
      <c r="A33" s="384" t="inlineStr">
        <is>
          <t>1450</t>
        </is>
      </c>
      <c r="B33" s="245" t="n"/>
      <c r="C33" s="245" t="n"/>
      <c r="D33" s="245" t="n"/>
      <c r="E33" s="245" t="n"/>
      <c r="F33" s="245" t="n"/>
      <c r="G33" s="420" t="n">
        <v>811.3200000000001</v>
      </c>
      <c r="H33" s="420" t="n">
        <v>923.45</v>
      </c>
      <c r="I33" s="420" t="n">
        <v>1029.83</v>
      </c>
      <c r="J33" s="420" t="n">
        <v>1090.85</v>
      </c>
      <c r="K33" s="420" t="n">
        <v>1238.86</v>
      </c>
      <c r="L33" s="420" t="n">
        <v>1339.24</v>
      </c>
      <c r="M33" s="420" t="n">
        <v>1434.11</v>
      </c>
      <c r="N33" s="420" t="n">
        <v>1528.94</v>
      </c>
    </row>
    <row r="34">
      <c r="A34" s="384" t="inlineStr">
        <is>
          <t>1500</t>
        </is>
      </c>
      <c r="B34" s="245" t="n"/>
      <c r="C34" s="245" t="n"/>
      <c r="D34" s="245" t="n"/>
      <c r="E34" s="245" t="n"/>
      <c r="F34" s="245" t="n"/>
      <c r="G34" s="420" t="n">
        <v>887.74</v>
      </c>
      <c r="H34" s="420" t="n">
        <v>985.42</v>
      </c>
      <c r="I34" s="420" t="n">
        <v>1097.21</v>
      </c>
      <c r="J34" s="420" t="n">
        <v>1193.3</v>
      </c>
      <c r="K34" s="420" t="n">
        <v>1349.3</v>
      </c>
      <c r="L34" s="420" t="n">
        <v>1455.85</v>
      </c>
      <c r="M34" s="420" t="n">
        <v>1564.18</v>
      </c>
      <c r="N34" s="420" t="n">
        <v>1672.47</v>
      </c>
    </row>
    <row r="35">
      <c r="A35" s="384" t="inlineStr">
        <is>
          <t>1550</t>
        </is>
      </c>
      <c r="B35" s="245" t="n"/>
      <c r="C35" s="245" t="n"/>
      <c r="D35" s="245" t="n"/>
      <c r="E35" s="245" t="n"/>
      <c r="F35" s="245" t="n"/>
      <c r="G35" s="245" t="n"/>
      <c r="H35" s="420" t="n">
        <v>1007.92</v>
      </c>
      <c r="I35" s="420" t="n">
        <v>1128.05</v>
      </c>
      <c r="J35" s="420" t="n">
        <v>1225.8</v>
      </c>
      <c r="K35" s="420" t="n">
        <v>1390.39</v>
      </c>
      <c r="L35" s="420" t="n">
        <v>1488.28</v>
      </c>
      <c r="M35" s="420" t="n">
        <v>1585.5</v>
      </c>
      <c r="N35" s="420" t="n">
        <v>1682.72</v>
      </c>
    </row>
    <row r="36">
      <c r="A36" s="384" t="inlineStr">
        <is>
          <t>1600</t>
        </is>
      </c>
      <c r="B36" s="245" t="n"/>
      <c r="C36" s="245" t="n"/>
      <c r="D36" s="245" t="n"/>
      <c r="E36" s="245" t="n"/>
      <c r="F36" s="245" t="n"/>
      <c r="G36" s="245" t="n"/>
      <c r="H36" s="420" t="n">
        <v>1065.72</v>
      </c>
      <c r="I36" s="420" t="n">
        <v>1183.78</v>
      </c>
      <c r="J36" s="420" t="n">
        <v>1285.36</v>
      </c>
      <c r="K36" s="420" t="n">
        <v>1455.77</v>
      </c>
      <c r="L36" s="420" t="n">
        <v>1553.38</v>
      </c>
      <c r="M36" s="420" t="n">
        <v>1647.35</v>
      </c>
      <c r="N36" s="420" t="n">
        <v>1734.05</v>
      </c>
    </row>
    <row r="38">
      <c r="A38" s="419" t="inlineStr">
        <is>
          <t>SAERTEX-LINER MULTI Typ S+ Standard — eiprofiel</t>
        </is>
      </c>
    </row>
    <row r="39" ht="16" customHeight="1">
      <c r="A39" s="315" t="inlineStr">
        <is>
          <t>DN [mm]</t>
        </is>
      </c>
      <c r="B39" s="315" t="inlineStr">
        <is>
          <t>3 mm</t>
        </is>
      </c>
      <c r="C39" s="315" t="inlineStr">
        <is>
          <t>4 mm</t>
        </is>
      </c>
      <c r="D39" s="315" t="inlineStr">
        <is>
          <t>5 mm</t>
        </is>
      </c>
      <c r="E39" s="315" t="inlineStr">
        <is>
          <t>6 mm</t>
        </is>
      </c>
      <c r="F39" s="315" t="inlineStr">
        <is>
          <t>7 mm</t>
        </is>
      </c>
      <c r="G39" s="315" t="inlineStr">
        <is>
          <t>8 mm</t>
        </is>
      </c>
      <c r="H39" s="315" t="inlineStr">
        <is>
          <t>9 mm</t>
        </is>
      </c>
      <c r="I39" s="315" t="inlineStr">
        <is>
          <t>10 mm</t>
        </is>
      </c>
      <c r="J39" s="315" t="inlineStr">
        <is>
          <t>11 mm</t>
        </is>
      </c>
      <c r="K39" s="315" t="inlineStr">
        <is>
          <t>12 mm</t>
        </is>
      </c>
      <c r="L39" s="315" t="inlineStr">
        <is>
          <t>13 mm</t>
        </is>
      </c>
      <c r="M39" s="315" t="inlineStr">
        <is>
          <t>14 mm</t>
        </is>
      </c>
      <c r="N39" s="315" t="inlineStr">
        <is>
          <t>15 mm</t>
        </is>
      </c>
    </row>
    <row r="40">
      <c r="A40" s="384" t="inlineStr">
        <is>
          <t>200/300 (252)</t>
        </is>
      </c>
      <c r="B40" s="420" t="n">
        <v>81.5</v>
      </c>
      <c r="C40" s="420" t="n">
        <v>85.70999999999999</v>
      </c>
      <c r="D40" s="420" t="n">
        <v>94.61</v>
      </c>
      <c r="E40" s="420" t="n">
        <v>115.33</v>
      </c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</row>
    <row r="41">
      <c r="A41" s="384" t="inlineStr">
        <is>
          <t>250/375 (315)</t>
        </is>
      </c>
      <c r="B41" s="420" t="n">
        <v>95.3</v>
      </c>
      <c r="C41" s="420" t="n">
        <v>103.15</v>
      </c>
      <c r="D41" s="420" t="n">
        <v>114.33</v>
      </c>
      <c r="E41" s="420" t="n">
        <v>141.32</v>
      </c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</row>
    <row r="42">
      <c r="A42" s="384" t="inlineStr">
        <is>
          <t>300/450 (378)</t>
        </is>
      </c>
      <c r="B42" s="420" t="n">
        <v>110.78</v>
      </c>
      <c r="C42" s="420" t="n">
        <v>121.75</v>
      </c>
      <c r="D42" s="420" t="n">
        <v>134.35</v>
      </c>
      <c r="E42" s="420" t="n">
        <v>162.91</v>
      </c>
      <c r="F42" s="245" t="n"/>
      <c r="G42" s="245" t="n"/>
      <c r="H42" s="245" t="n"/>
      <c r="I42" s="245" t="n"/>
      <c r="J42" s="245" t="n"/>
      <c r="K42" s="245" t="n"/>
      <c r="L42" s="245" t="n"/>
      <c r="M42" s="245" t="n"/>
      <c r="N42" s="245" t="n"/>
    </row>
    <row r="43">
      <c r="A43" s="384" t="inlineStr">
        <is>
          <t>350/525 (442)</t>
        </is>
      </c>
      <c r="B43" s="245" t="n"/>
      <c r="C43" s="420" t="n">
        <v>133.19</v>
      </c>
      <c r="D43" s="420" t="n">
        <v>153.18</v>
      </c>
      <c r="E43" s="420" t="n">
        <v>182.84</v>
      </c>
      <c r="F43" s="420" t="n">
        <v>232.83</v>
      </c>
      <c r="G43" s="245" t="n"/>
      <c r="H43" s="245" t="n"/>
      <c r="I43" s="245" t="n"/>
      <c r="J43" s="245" t="n"/>
      <c r="K43" s="245" t="n"/>
      <c r="L43" s="245" t="n"/>
      <c r="M43" s="245" t="n"/>
      <c r="N43" s="245" t="n"/>
    </row>
    <row r="44">
      <c r="A44" s="384" t="inlineStr">
        <is>
          <t>400/600 (505)</t>
        </is>
      </c>
      <c r="B44" s="245" t="n"/>
      <c r="C44" s="420" t="n">
        <v>154.73</v>
      </c>
      <c r="D44" s="420" t="n">
        <v>171.25</v>
      </c>
      <c r="E44" s="420" t="n">
        <v>206.95</v>
      </c>
      <c r="F44" s="420" t="n">
        <v>257.34</v>
      </c>
      <c r="G44" s="245" t="n"/>
      <c r="H44" s="245" t="n"/>
      <c r="I44" s="245" t="n"/>
      <c r="J44" s="245" t="n"/>
      <c r="K44" s="245" t="n"/>
      <c r="L44" s="245" t="n"/>
      <c r="M44" s="245" t="n"/>
      <c r="N44" s="245" t="n"/>
    </row>
    <row r="45">
      <c r="A45" s="384" t="inlineStr">
        <is>
          <t>500/750 (631)</t>
        </is>
      </c>
      <c r="B45" s="245" t="n"/>
      <c r="C45" s="245" t="n"/>
      <c r="D45" s="420" t="n">
        <v>202.31</v>
      </c>
      <c r="E45" s="420" t="n">
        <v>243.01</v>
      </c>
      <c r="F45" s="420" t="n">
        <v>305.5</v>
      </c>
      <c r="G45" s="420" t="n">
        <v>337.51</v>
      </c>
      <c r="H45" s="420" t="n">
        <v>369.51</v>
      </c>
      <c r="I45" s="245" t="n"/>
      <c r="J45" s="245" t="n"/>
      <c r="K45" s="245" t="n"/>
      <c r="L45" s="245" t="n"/>
      <c r="M45" s="245" t="n"/>
      <c r="N45" s="245" t="n"/>
    </row>
    <row r="46">
      <c r="A46" s="384" t="inlineStr">
        <is>
          <t>600/900 (758)</t>
        </is>
      </c>
      <c r="B46" s="245" t="n"/>
      <c r="C46" s="245" t="n"/>
      <c r="D46" s="245" t="n"/>
      <c r="E46" s="420" t="n">
        <v>295.24</v>
      </c>
      <c r="F46" s="420" t="n">
        <v>369.57</v>
      </c>
      <c r="G46" s="420" t="n">
        <v>405.85</v>
      </c>
      <c r="H46" s="420" t="n">
        <v>445.26</v>
      </c>
      <c r="I46" s="245" t="n"/>
      <c r="J46" s="245" t="n"/>
      <c r="K46" s="245" t="n"/>
      <c r="L46" s="245" t="n"/>
      <c r="M46" s="245" t="n"/>
      <c r="N46" s="245" t="n"/>
    </row>
    <row r="47">
      <c r="A47" s="384" t="inlineStr">
        <is>
          <t>700/1050 (883)</t>
        </is>
      </c>
      <c r="B47" s="245" t="n"/>
      <c r="C47" s="245" t="n"/>
      <c r="D47" s="245" t="n"/>
      <c r="E47" s="420" t="n">
        <v>349.26</v>
      </c>
      <c r="F47" s="420" t="n">
        <v>431.16</v>
      </c>
      <c r="G47" s="420" t="n">
        <v>475.26</v>
      </c>
      <c r="H47" s="420" t="n">
        <v>521.74</v>
      </c>
      <c r="I47" s="420" t="n">
        <v>594.95</v>
      </c>
      <c r="J47" s="245" t="n"/>
      <c r="K47" s="245" t="n"/>
      <c r="L47" s="245" t="n"/>
      <c r="M47" s="245" t="n"/>
      <c r="N47" s="245" t="n"/>
    </row>
    <row r="48">
      <c r="A48" s="384" t="inlineStr">
        <is>
          <t>800/1200 (1010)</t>
        </is>
      </c>
      <c r="B48" s="245" t="n"/>
      <c r="C48" s="245" t="n"/>
      <c r="D48" s="245" t="n"/>
      <c r="E48" s="245" t="n"/>
      <c r="F48" s="245" t="n"/>
      <c r="G48" s="420" t="n">
        <v>532.63</v>
      </c>
      <c r="H48" s="420" t="n">
        <v>581.14</v>
      </c>
      <c r="I48" s="420" t="n">
        <v>657</v>
      </c>
      <c r="J48" s="420" t="n">
        <v>718.92</v>
      </c>
      <c r="K48" s="420" t="n">
        <v>798.4299999999999</v>
      </c>
      <c r="L48" s="245" t="n"/>
      <c r="M48" s="245" t="n"/>
      <c r="N48" s="245" t="n"/>
    </row>
    <row r="49">
      <c r="A49" s="384" t="inlineStr">
        <is>
          <t>900/1350 (1136)</t>
        </is>
      </c>
      <c r="B49" s="245" t="n"/>
      <c r="C49" s="245" t="n"/>
      <c r="D49" s="245" t="n"/>
      <c r="E49" s="245" t="n"/>
      <c r="F49" s="245" t="n"/>
      <c r="G49" s="245" t="n"/>
      <c r="H49" s="420" t="n">
        <v>680.2</v>
      </c>
      <c r="I49" s="420" t="n">
        <v>773.87</v>
      </c>
      <c r="J49" s="420" t="n">
        <v>849.6900000000001</v>
      </c>
      <c r="K49" s="420" t="n">
        <v>948.05</v>
      </c>
      <c r="L49" s="420" t="n">
        <v>960.38</v>
      </c>
      <c r="M49" s="245" t="n"/>
      <c r="N49" s="245" t="n"/>
    </row>
    <row r="50">
      <c r="A50" s="384" t="inlineStr">
        <is>
          <t>1000/1500 (1262)</t>
        </is>
      </c>
      <c r="B50" s="245" t="n"/>
      <c r="C50" s="245" t="n"/>
      <c r="D50" s="245" t="n"/>
      <c r="E50" s="245" t="n"/>
      <c r="F50" s="245" t="n"/>
      <c r="G50" s="245" t="n"/>
      <c r="H50" s="420" t="n">
        <v>717.4</v>
      </c>
      <c r="I50" s="420" t="n">
        <v>834.83</v>
      </c>
      <c r="J50" s="420" t="n">
        <v>878.58</v>
      </c>
      <c r="K50" s="420" t="n">
        <v>968.7</v>
      </c>
      <c r="L50" s="420" t="n">
        <v>1028.52</v>
      </c>
      <c r="M50" s="420" t="n">
        <v>1119.36</v>
      </c>
      <c r="N50" s="420" t="n">
        <v>1184.07</v>
      </c>
    </row>
    <row r="51">
      <c r="A51" s="384" t="inlineStr">
        <is>
          <t>1200/1800 (1515)</t>
        </is>
      </c>
      <c r="B51" s="245" t="n"/>
      <c r="C51" s="245" t="n"/>
      <c r="D51" s="245" t="n"/>
      <c r="E51" s="245" t="n"/>
      <c r="F51" s="245" t="n"/>
      <c r="G51" s="245" t="n"/>
      <c r="H51" s="245" t="n"/>
      <c r="I51" s="245" t="n"/>
      <c r="J51" s="245" t="n"/>
      <c r="K51" s="420" t="n">
        <v>1349.3</v>
      </c>
      <c r="L51" s="420" t="n">
        <v>1455.85</v>
      </c>
      <c r="M51" s="420" t="n">
        <v>1569.27</v>
      </c>
      <c r="N51" s="420" t="n">
        <v>1682.72</v>
      </c>
    </row>
    <row r="53">
      <c r="A53" s="419" t="inlineStr">
        <is>
          <t>SAERTEX-LINER MULTI Typ S+ FastPlus — rond (UP-hars)</t>
        </is>
      </c>
    </row>
    <row r="54" ht="16" customHeight="1">
      <c r="A54" s="315" t="inlineStr">
        <is>
          <t>DN [mm]</t>
        </is>
      </c>
      <c r="B54" s="315" t="inlineStr">
        <is>
          <t>3 mm</t>
        </is>
      </c>
      <c r="C54" s="315" t="inlineStr">
        <is>
          <t>4 mm</t>
        </is>
      </c>
      <c r="D54" s="315" t="inlineStr">
        <is>
          <t>5 mm</t>
        </is>
      </c>
      <c r="E54" s="315" t="inlineStr">
        <is>
          <t>6 mm</t>
        </is>
      </c>
      <c r="F54" s="315" t="inlineStr">
        <is>
          <t>7 mm</t>
        </is>
      </c>
      <c r="G54" s="315" t="inlineStr">
        <is>
          <t>8 mm</t>
        </is>
      </c>
      <c r="H54" s="315" t="inlineStr">
        <is>
          <t>9 mm</t>
        </is>
      </c>
      <c r="I54" s="315" t="inlineStr">
        <is>
          <t>10 mm</t>
        </is>
      </c>
      <c r="J54" s="315" t="inlineStr">
        <is>
          <t>11 mm</t>
        </is>
      </c>
      <c r="K54" s="315" t="inlineStr">
        <is>
          <t>12 mm</t>
        </is>
      </c>
      <c r="L54" s="315" t="inlineStr">
        <is>
          <t>13 mm</t>
        </is>
      </c>
      <c r="M54" s="315" t="inlineStr">
        <is>
          <t>14 mm</t>
        </is>
      </c>
      <c r="N54" s="315" t="inlineStr">
        <is>
          <t>15 mm</t>
        </is>
      </c>
    </row>
    <row r="55">
      <c r="A55" s="384" t="inlineStr">
        <is>
          <t>200</t>
        </is>
      </c>
      <c r="B55" s="420" t="n">
        <v>74.02</v>
      </c>
      <c r="C55" s="420" t="n">
        <v>80.40000000000001</v>
      </c>
      <c r="D55" s="420" t="n">
        <v>88.48</v>
      </c>
      <c r="E55" s="420" t="n">
        <v>109.37</v>
      </c>
      <c r="F55" s="245" t="n"/>
      <c r="G55" s="245" t="n"/>
      <c r="H55" s="245" t="n"/>
      <c r="I55" s="245" t="n"/>
      <c r="J55" s="245" t="n"/>
      <c r="K55" s="245" t="n"/>
      <c r="L55" s="245" t="n"/>
      <c r="M55" s="245" t="n"/>
      <c r="N55" s="245" t="n"/>
    </row>
    <row r="56">
      <c r="A56" s="384" t="inlineStr">
        <is>
          <t>225</t>
        </is>
      </c>
      <c r="B56" s="420" t="n">
        <v>79.36</v>
      </c>
      <c r="C56" s="420" t="n">
        <v>86.87</v>
      </c>
      <c r="D56" s="420" t="n">
        <v>91.98999999999999</v>
      </c>
      <c r="E56" s="420" t="n">
        <v>113.08</v>
      </c>
      <c r="F56" s="245" t="n"/>
      <c r="G56" s="245" t="n"/>
      <c r="H56" s="245" t="n"/>
      <c r="I56" s="245" t="n"/>
      <c r="J56" s="245" t="n"/>
      <c r="K56" s="245" t="n"/>
      <c r="L56" s="245" t="n"/>
      <c r="M56" s="245" t="n"/>
      <c r="N56" s="245" t="n"/>
    </row>
    <row r="57">
      <c r="A57" s="384" t="inlineStr">
        <is>
          <t>250</t>
        </is>
      </c>
      <c r="B57" s="420" t="n">
        <v>84.76000000000001</v>
      </c>
      <c r="C57" s="420" t="n">
        <v>89.14</v>
      </c>
      <c r="D57" s="420" t="n">
        <v>98.40000000000001</v>
      </c>
      <c r="E57" s="420" t="n">
        <v>119.94</v>
      </c>
      <c r="F57" s="245" t="n"/>
      <c r="G57" s="245" t="n"/>
      <c r="H57" s="245" t="n"/>
      <c r="I57" s="245" t="n"/>
      <c r="J57" s="245" t="n"/>
      <c r="K57" s="245" t="n"/>
      <c r="L57" s="245" t="n"/>
      <c r="M57" s="245" t="n"/>
      <c r="N57" s="245" t="n"/>
    </row>
    <row r="58">
      <c r="A58" s="384" t="inlineStr">
        <is>
          <t>300</t>
        </is>
      </c>
      <c r="B58" s="420" t="n">
        <v>89.03</v>
      </c>
      <c r="C58" s="420" t="n">
        <v>104.12</v>
      </c>
      <c r="D58" s="420" t="n">
        <v>115.19</v>
      </c>
      <c r="E58" s="420" t="n">
        <v>139.78</v>
      </c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</row>
    <row r="59">
      <c r="A59" s="384" t="inlineStr">
        <is>
          <t>350</t>
        </is>
      </c>
      <c r="B59" s="420" t="n">
        <v>109.79</v>
      </c>
      <c r="C59" s="420" t="n">
        <v>119.74</v>
      </c>
      <c r="D59" s="420" t="n">
        <v>132.75</v>
      </c>
      <c r="E59" s="420" t="n">
        <v>159.76</v>
      </c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</row>
    <row r="60">
      <c r="A60" s="384" t="inlineStr">
        <is>
          <t>400</t>
        </is>
      </c>
      <c r="B60" s="420" t="n">
        <v>119.59</v>
      </c>
      <c r="C60" s="420" t="n">
        <v>131.81</v>
      </c>
      <c r="D60" s="420" t="n">
        <v>145.57</v>
      </c>
      <c r="E60" s="420" t="n">
        <v>176.48</v>
      </c>
      <c r="F60" s="420" t="n">
        <v>218.71</v>
      </c>
      <c r="G60" s="245" t="n"/>
      <c r="H60" s="245" t="n"/>
      <c r="I60" s="245" t="n"/>
      <c r="J60" s="245" t="n"/>
      <c r="K60" s="245" t="n"/>
      <c r="L60" s="245" t="n"/>
      <c r="M60" s="245" t="n"/>
      <c r="N60" s="245" t="n"/>
    </row>
    <row r="61">
      <c r="A61" s="384" t="inlineStr">
        <is>
          <t>450</t>
        </is>
      </c>
      <c r="B61" s="420" t="n">
        <v>130.72</v>
      </c>
      <c r="C61" s="420" t="n">
        <v>145.69</v>
      </c>
      <c r="D61" s="420" t="n">
        <v>162.06</v>
      </c>
      <c r="E61" s="420" t="n">
        <v>194.34</v>
      </c>
      <c r="F61" s="420" t="n">
        <v>242.14</v>
      </c>
      <c r="G61" s="245" t="n"/>
      <c r="H61" s="245" t="n"/>
      <c r="I61" s="245" t="n"/>
      <c r="J61" s="245" t="n"/>
      <c r="K61" s="245" t="n"/>
      <c r="L61" s="245" t="n"/>
      <c r="M61" s="245" t="n"/>
      <c r="N61" s="245" t="n"/>
    </row>
    <row r="62">
      <c r="A62" s="384" t="inlineStr">
        <is>
          <t>500</t>
        </is>
      </c>
      <c r="B62" s="420" t="n">
        <v>143.63</v>
      </c>
      <c r="C62" s="420" t="n">
        <v>160.92</v>
      </c>
      <c r="D62" s="420" t="n">
        <v>179.11</v>
      </c>
      <c r="E62" s="420" t="n">
        <v>215.03</v>
      </c>
      <c r="F62" s="420" t="n">
        <v>267.08</v>
      </c>
      <c r="G62" s="420" t="n">
        <v>296.7</v>
      </c>
      <c r="H62" s="245" t="n"/>
      <c r="I62" s="245" t="n"/>
      <c r="J62" s="245" t="n"/>
      <c r="K62" s="245" t="n"/>
      <c r="L62" s="245" t="n"/>
      <c r="M62" s="245" t="n"/>
      <c r="N62" s="245" t="n"/>
    </row>
    <row r="63">
      <c r="A63" s="384" t="inlineStr">
        <is>
          <t>550</t>
        </is>
      </c>
      <c r="B63" s="420" t="n">
        <v>151.45</v>
      </c>
      <c r="C63" s="420" t="n">
        <v>166.99</v>
      </c>
      <c r="D63" s="420" t="n">
        <v>192.28</v>
      </c>
      <c r="E63" s="420" t="n">
        <v>230.44</v>
      </c>
      <c r="F63" s="420" t="n">
        <v>286.94</v>
      </c>
      <c r="G63" s="420" t="n">
        <v>317.17</v>
      </c>
      <c r="H63" s="245" t="n"/>
      <c r="I63" s="245" t="n"/>
      <c r="J63" s="245" t="n"/>
      <c r="K63" s="245" t="n"/>
      <c r="L63" s="245" t="n"/>
      <c r="M63" s="245" t="n"/>
      <c r="N63" s="245" t="n"/>
    </row>
    <row r="64">
      <c r="A64" s="384" t="inlineStr">
        <is>
          <t>600</t>
        </is>
      </c>
      <c r="B64" s="420" t="n">
        <v>162.16</v>
      </c>
      <c r="C64" s="420" t="n">
        <v>184.37</v>
      </c>
      <c r="D64" s="420" t="n">
        <v>205.82</v>
      </c>
      <c r="E64" s="420" t="n">
        <v>246.35</v>
      </c>
      <c r="F64" s="420" t="n">
        <v>307.24</v>
      </c>
      <c r="G64" s="420" t="n">
        <v>337.64</v>
      </c>
      <c r="H64" s="245" t="n"/>
      <c r="I64" s="245" t="n"/>
      <c r="J64" s="245" t="n"/>
      <c r="K64" s="245" t="n"/>
      <c r="L64" s="245" t="n"/>
      <c r="M64" s="245" t="n"/>
      <c r="N64" s="245" t="n"/>
    </row>
    <row r="65">
      <c r="A65" s="384" t="inlineStr">
        <is>
          <t>650</t>
        </is>
      </c>
      <c r="B65" s="420" t="n">
        <v>179</v>
      </c>
      <c r="C65" s="420" t="n">
        <v>197.96</v>
      </c>
      <c r="D65" s="420" t="n">
        <v>217.86</v>
      </c>
      <c r="E65" s="420" t="n">
        <v>262.14</v>
      </c>
      <c r="F65" s="420" t="n">
        <v>327.51</v>
      </c>
      <c r="G65" s="420" t="n">
        <v>360.94</v>
      </c>
      <c r="H65" s="420" t="n">
        <v>397.78</v>
      </c>
      <c r="I65" s="245" t="n"/>
      <c r="J65" s="245" t="n"/>
      <c r="K65" s="245" t="n"/>
      <c r="L65" s="245" t="n"/>
      <c r="M65" s="245" t="n"/>
      <c r="N65" s="245" t="n"/>
    </row>
    <row r="66">
      <c r="A66" s="384" t="inlineStr">
        <is>
          <t>700</t>
        </is>
      </c>
      <c r="B66" s="245" t="n"/>
      <c r="C66" s="420" t="n">
        <v>217.36</v>
      </c>
      <c r="D66" s="420" t="n">
        <v>242.66</v>
      </c>
      <c r="E66" s="420" t="n">
        <v>289.05</v>
      </c>
      <c r="F66" s="420" t="n">
        <v>358.64</v>
      </c>
      <c r="G66" s="420" t="n">
        <v>394.76</v>
      </c>
      <c r="H66" s="420" t="n">
        <v>432.43</v>
      </c>
      <c r="I66" s="245" t="n"/>
      <c r="J66" s="245" t="n"/>
      <c r="K66" s="245" t="n"/>
      <c r="L66" s="245" t="n"/>
      <c r="M66" s="245" t="n"/>
      <c r="N66" s="245" t="n"/>
    </row>
    <row r="67">
      <c r="A67" s="384" t="inlineStr">
        <is>
          <t>750</t>
        </is>
      </c>
      <c r="B67" s="245" t="n"/>
      <c r="C67" s="420" t="n">
        <v>222.58</v>
      </c>
      <c r="D67" s="420" t="n">
        <v>256.87</v>
      </c>
      <c r="E67" s="420" t="n">
        <v>305.66</v>
      </c>
      <c r="F67" s="420" t="n">
        <v>374.44</v>
      </c>
      <c r="G67" s="420" t="n">
        <v>417.19</v>
      </c>
      <c r="H67" s="420" t="n">
        <v>456.87</v>
      </c>
      <c r="I67" s="245" t="n"/>
      <c r="J67" s="245" t="n"/>
      <c r="K67" s="245" t="n"/>
      <c r="L67" s="245" t="n"/>
      <c r="M67" s="245" t="n"/>
      <c r="N67" s="245" t="n"/>
    </row>
    <row r="68">
      <c r="A68" s="384" t="inlineStr">
        <is>
          <t>800</t>
        </is>
      </c>
      <c r="B68" s="245" t="n"/>
      <c r="C68" s="420" t="n">
        <v>251.26</v>
      </c>
      <c r="D68" s="420" t="n">
        <v>280.96</v>
      </c>
      <c r="E68" s="420" t="n">
        <v>331.95</v>
      </c>
      <c r="F68" s="420" t="n">
        <v>415.98</v>
      </c>
      <c r="G68" s="420" t="n">
        <v>456.42</v>
      </c>
      <c r="H68" s="420" t="n">
        <v>501.25</v>
      </c>
      <c r="I68" s="420" t="n">
        <v>561.4</v>
      </c>
      <c r="J68" s="245" t="n"/>
      <c r="K68" s="245" t="n"/>
      <c r="L68" s="245" t="n"/>
      <c r="M68" s="245" t="n"/>
      <c r="N68" s="245" t="n"/>
    </row>
    <row r="69">
      <c r="A69" s="384" t="inlineStr">
        <is>
          <t>850</t>
        </is>
      </c>
      <c r="B69" s="245" t="n"/>
      <c r="C69" s="420" t="n">
        <v>262.21</v>
      </c>
      <c r="D69" s="420" t="n">
        <v>294.47</v>
      </c>
      <c r="E69" s="420" t="n">
        <v>349.07</v>
      </c>
      <c r="F69" s="420" t="n">
        <v>434.92</v>
      </c>
      <c r="G69" s="420" t="n">
        <v>478.6</v>
      </c>
      <c r="H69" s="420" t="n">
        <v>522.28</v>
      </c>
      <c r="I69" s="420" t="n">
        <v>597.6799999999999</v>
      </c>
      <c r="J69" s="245" t="n"/>
      <c r="K69" s="245" t="n"/>
      <c r="L69" s="245" t="n"/>
      <c r="M69" s="245" t="n"/>
      <c r="N69" s="245" t="n"/>
    </row>
    <row r="70">
      <c r="A70" s="384" t="inlineStr">
        <is>
          <t>900</t>
        </is>
      </c>
      <c r="B70" s="245" t="n"/>
      <c r="C70" s="245" t="n"/>
      <c r="D70" s="420" t="n">
        <v>313.59</v>
      </c>
      <c r="E70" s="420" t="n">
        <v>370.23</v>
      </c>
      <c r="F70" s="420" t="n">
        <v>461.87</v>
      </c>
      <c r="G70" s="420" t="n">
        <v>508.98</v>
      </c>
      <c r="H70" s="420" t="n">
        <v>557.9400000000001</v>
      </c>
      <c r="I70" s="420" t="n">
        <v>637.3</v>
      </c>
      <c r="J70" s="420" t="n">
        <v>692.38</v>
      </c>
      <c r="K70" s="420" t="n">
        <v>776.77</v>
      </c>
      <c r="L70" s="245" t="n"/>
      <c r="M70" s="245" t="n"/>
      <c r="N70" s="245" t="n"/>
    </row>
    <row r="71">
      <c r="A71" s="384" t="inlineStr">
        <is>
          <t>950</t>
        </is>
      </c>
      <c r="B71" s="245" t="n"/>
      <c r="C71" s="245" t="n"/>
      <c r="D71" s="420" t="n">
        <v>326.99</v>
      </c>
      <c r="E71" s="420" t="n">
        <v>387.79</v>
      </c>
      <c r="F71" s="420" t="n">
        <v>490.99</v>
      </c>
      <c r="G71" s="420" t="n">
        <v>532.35</v>
      </c>
      <c r="H71" s="420" t="n">
        <v>596.25</v>
      </c>
      <c r="I71" s="420" t="n">
        <v>660.11</v>
      </c>
      <c r="J71" s="420" t="n">
        <v>727.72</v>
      </c>
      <c r="K71" s="420" t="n">
        <v>795.3</v>
      </c>
      <c r="L71" s="245" t="n"/>
      <c r="M71" s="245" t="n"/>
      <c r="N71" s="245" t="n"/>
    </row>
    <row r="72">
      <c r="A72" s="384" t="inlineStr">
        <is>
          <t>1000</t>
        </is>
      </c>
      <c r="B72" s="245" t="n"/>
      <c r="C72" s="245" t="n"/>
      <c r="D72" s="420" t="n">
        <v>335.16</v>
      </c>
      <c r="E72" s="420" t="n">
        <v>396.77</v>
      </c>
      <c r="F72" s="420" t="n">
        <v>499.01</v>
      </c>
      <c r="G72" s="420" t="n">
        <v>544.8</v>
      </c>
      <c r="H72" s="420" t="n">
        <v>597.71</v>
      </c>
      <c r="I72" s="420" t="n">
        <v>674.79</v>
      </c>
      <c r="J72" s="420" t="n">
        <v>738.9400000000001</v>
      </c>
      <c r="K72" s="420" t="n">
        <v>819.22</v>
      </c>
      <c r="L72" s="245" t="n"/>
      <c r="M72" s="245" t="n"/>
      <c r="N72" s="245" t="n"/>
    </row>
    <row r="73">
      <c r="A73" s="384" t="inlineStr">
        <is>
          <t>1050</t>
        </is>
      </c>
      <c r="B73" s="245" t="n"/>
      <c r="C73" s="245" t="n"/>
      <c r="D73" s="245" t="n"/>
      <c r="E73" s="420" t="n">
        <v>457.3</v>
      </c>
      <c r="F73" s="420" t="n">
        <v>521.11</v>
      </c>
      <c r="G73" s="420" t="n">
        <v>568.47</v>
      </c>
      <c r="H73" s="420" t="n">
        <v>647.9400000000001</v>
      </c>
      <c r="I73" s="420" t="n">
        <v>733.1799999999999</v>
      </c>
      <c r="J73" s="420" t="n">
        <v>768.37</v>
      </c>
      <c r="K73" s="420" t="n">
        <v>858.29</v>
      </c>
      <c r="L73" s="245" t="n"/>
      <c r="M73" s="245" t="n"/>
      <c r="N73" s="245" t="n"/>
    </row>
    <row r="74">
      <c r="A74" s="384" t="inlineStr">
        <is>
          <t>1100</t>
        </is>
      </c>
      <c r="B74" s="245" t="n"/>
      <c r="C74" s="245" t="n"/>
      <c r="D74" s="245" t="n"/>
      <c r="E74" s="420" t="n">
        <v>508.25</v>
      </c>
      <c r="F74" s="420" t="n">
        <v>575.89</v>
      </c>
      <c r="G74" s="420" t="n">
        <v>634.9400000000001</v>
      </c>
      <c r="H74" s="420" t="n">
        <v>707.16</v>
      </c>
      <c r="I74" s="420" t="n">
        <v>801.75</v>
      </c>
      <c r="J74" s="420" t="n">
        <v>853.4400000000001</v>
      </c>
      <c r="K74" s="420" t="n">
        <v>921.65</v>
      </c>
      <c r="L74" s="245" t="n"/>
      <c r="M74" s="245" t="n"/>
      <c r="N74" s="245" t="n"/>
    </row>
    <row r="75">
      <c r="A75" s="384" t="inlineStr">
        <is>
          <t>1150</t>
        </is>
      </c>
      <c r="B75" s="245" t="n"/>
      <c r="C75" s="245" t="n"/>
      <c r="D75" s="245" t="n"/>
      <c r="E75" s="420" t="n">
        <v>527.53</v>
      </c>
      <c r="F75" s="420" t="n">
        <v>597.72</v>
      </c>
      <c r="G75" s="420" t="n">
        <v>649.5</v>
      </c>
      <c r="H75" s="420" t="n">
        <v>728.92</v>
      </c>
      <c r="I75" s="420" t="n">
        <v>800.48</v>
      </c>
      <c r="J75" s="420" t="n">
        <v>883.6799999999999</v>
      </c>
      <c r="K75" s="420" t="n">
        <v>985.98</v>
      </c>
      <c r="L75" s="245" t="n"/>
      <c r="M75" s="245" t="n"/>
      <c r="N75" s="245" t="n"/>
    </row>
    <row r="76">
      <c r="A76" s="384" t="inlineStr">
        <is>
          <t>1200</t>
        </is>
      </c>
      <c r="B76" s="245" t="n"/>
      <c r="C76" s="245" t="n"/>
      <c r="D76" s="245" t="n"/>
      <c r="E76" s="420" t="n">
        <v>529.39</v>
      </c>
      <c r="F76" s="420" t="n">
        <v>599.78</v>
      </c>
      <c r="G76" s="420" t="n">
        <v>654.04</v>
      </c>
      <c r="H76" s="420" t="n">
        <v>726.77</v>
      </c>
      <c r="I76" s="420" t="n">
        <v>824.9400000000001</v>
      </c>
      <c r="J76" s="420" t="n">
        <v>884.8099999999999</v>
      </c>
      <c r="K76" s="420" t="n">
        <v>1016.85</v>
      </c>
      <c r="L76" s="245" t="n"/>
      <c r="M76" s="245" t="n"/>
      <c r="N76" s="245" t="n"/>
    </row>
    <row r="77">
      <c r="A77" s="384" t="inlineStr">
        <is>
          <t>1250</t>
        </is>
      </c>
      <c r="B77" s="245" t="n"/>
      <c r="C77" s="245" t="n"/>
      <c r="D77" s="245" t="n"/>
      <c r="E77" s="245" t="n"/>
      <c r="F77" s="420" t="n">
        <v>620.52</v>
      </c>
      <c r="G77" s="420" t="n">
        <v>679.1900000000001</v>
      </c>
      <c r="H77" s="420" t="n">
        <v>746.1</v>
      </c>
      <c r="I77" s="420" t="n">
        <v>846.58</v>
      </c>
      <c r="J77" s="420" t="n">
        <v>913.73</v>
      </c>
      <c r="K77" s="420" t="n">
        <v>1030.95</v>
      </c>
      <c r="L77" s="245" t="n"/>
      <c r="M77" s="245" t="n"/>
      <c r="N77" s="245" t="n"/>
    </row>
    <row r="78">
      <c r="A78" s="384" t="inlineStr">
        <is>
          <t>1300</t>
        </is>
      </c>
      <c r="B78" s="245" t="n"/>
      <c r="C78" s="245" t="n"/>
      <c r="D78" s="245" t="n"/>
      <c r="E78" s="245" t="n"/>
      <c r="F78" s="420" t="n">
        <v>704.51</v>
      </c>
      <c r="G78" s="420" t="n">
        <v>775.8099999999999</v>
      </c>
      <c r="H78" s="420" t="n">
        <v>852.26</v>
      </c>
      <c r="I78" s="420" t="n">
        <v>953.9</v>
      </c>
      <c r="J78" s="420" t="n">
        <v>1036.92</v>
      </c>
      <c r="K78" s="420" t="n">
        <v>1149.2</v>
      </c>
      <c r="L78" s="245" t="n"/>
      <c r="M78" s="245" t="n"/>
      <c r="N78" s="245" t="n"/>
    </row>
    <row r="79">
      <c r="A79" s="384" t="inlineStr">
        <is>
          <t>1350</t>
        </is>
      </c>
      <c r="B79" s="245" t="n"/>
      <c r="C79" s="245" t="n"/>
      <c r="D79" s="245" t="n"/>
      <c r="E79" s="245" t="n"/>
      <c r="F79" s="420" t="n">
        <v>725.15</v>
      </c>
      <c r="G79" s="420" t="n">
        <v>795.75</v>
      </c>
      <c r="H79" s="420" t="n">
        <v>867.41</v>
      </c>
      <c r="I79" s="420" t="n">
        <v>983.66</v>
      </c>
      <c r="J79" s="420" t="n">
        <v>1072.02</v>
      </c>
      <c r="K79" s="420" t="n">
        <v>1160.36</v>
      </c>
      <c r="L79" s="245" t="n"/>
      <c r="M79" s="245" t="n"/>
      <c r="N79" s="245" t="n"/>
    </row>
    <row r="80">
      <c r="A80" s="384" t="inlineStr">
        <is>
          <t>1400</t>
        </is>
      </c>
      <c r="B80" s="245" t="n"/>
      <c r="C80" s="245" t="n"/>
      <c r="D80" s="245" t="n"/>
      <c r="E80" s="245" t="n"/>
      <c r="F80" s="420" t="n">
        <v>793.21</v>
      </c>
      <c r="G80" s="420" t="n">
        <v>838.8200000000001</v>
      </c>
      <c r="H80" s="420" t="n">
        <v>956.55</v>
      </c>
      <c r="I80" s="420" t="n">
        <v>1068.43</v>
      </c>
      <c r="J80" s="420" t="n">
        <v>1101.3</v>
      </c>
      <c r="K80" s="420" t="n">
        <v>1256.54</v>
      </c>
      <c r="L80" s="245" t="n"/>
      <c r="M80" s="245" t="n"/>
      <c r="N80" s="245" t="n"/>
    </row>
    <row r="81">
      <c r="A81" s="384" t="inlineStr">
        <is>
          <t>1450</t>
        </is>
      </c>
      <c r="B81" s="245" t="n"/>
      <c r="C81" s="245" t="n"/>
      <c r="D81" s="245" t="n"/>
      <c r="E81" s="245" t="n"/>
      <c r="F81" s="245" t="n"/>
      <c r="G81" s="420" t="n">
        <v>843.77</v>
      </c>
      <c r="H81" s="420" t="n">
        <v>960.39</v>
      </c>
      <c r="I81" s="420" t="n">
        <v>1071.02</v>
      </c>
      <c r="J81" s="420" t="n">
        <v>1134.49</v>
      </c>
      <c r="K81" s="420" t="n">
        <v>1288.41</v>
      </c>
      <c r="L81" s="245" t="n"/>
      <c r="M81" s="245" t="n"/>
      <c r="N81" s="245" t="n"/>
    </row>
    <row r="82">
      <c r="A82" s="384" t="inlineStr">
        <is>
          <t>1500</t>
        </is>
      </c>
      <c r="B82" s="245" t="n"/>
      <c r="C82" s="245" t="n"/>
      <c r="D82" s="245" t="n"/>
      <c r="E82" s="245" t="n"/>
      <c r="F82" s="245" t="n"/>
      <c r="G82" s="420" t="n">
        <v>923.25</v>
      </c>
      <c r="H82" s="420" t="n">
        <v>1024.84</v>
      </c>
      <c r="I82" s="420" t="n">
        <v>1141.1</v>
      </c>
      <c r="J82" s="420" t="n">
        <v>1241.03</v>
      </c>
      <c r="K82" s="420" t="n">
        <v>1403.27</v>
      </c>
      <c r="L82" s="245" t="n"/>
      <c r="M82" s="245" t="n"/>
      <c r="N82" s="245" t="n"/>
    </row>
    <row r="84">
      <c r="A84" s="419" t="inlineStr">
        <is>
          <t>SAERTEX-LINER MULTI Typ S+ FastPlus — eiprofiel</t>
        </is>
      </c>
    </row>
    <row r="85" ht="16" customHeight="1">
      <c r="A85" s="315" t="inlineStr">
        <is>
          <t>DN [mm]</t>
        </is>
      </c>
      <c r="B85" s="315" t="inlineStr">
        <is>
          <t>3 mm</t>
        </is>
      </c>
      <c r="C85" s="315" t="inlineStr">
        <is>
          <t>4 mm</t>
        </is>
      </c>
      <c r="D85" s="315" t="inlineStr">
        <is>
          <t>5 mm</t>
        </is>
      </c>
      <c r="E85" s="315" t="inlineStr">
        <is>
          <t>6 mm</t>
        </is>
      </c>
      <c r="F85" s="315" t="inlineStr">
        <is>
          <t>7 mm</t>
        </is>
      </c>
      <c r="G85" s="315" t="inlineStr">
        <is>
          <t>8 mm</t>
        </is>
      </c>
      <c r="H85" s="315" t="inlineStr">
        <is>
          <t>9 mm</t>
        </is>
      </c>
      <c r="I85" s="315" t="inlineStr">
        <is>
          <t>10 mm</t>
        </is>
      </c>
      <c r="J85" s="315" t="inlineStr">
        <is>
          <t>11 mm</t>
        </is>
      </c>
      <c r="K85" s="315" t="inlineStr">
        <is>
          <t>12 mm</t>
        </is>
      </c>
      <c r="L85" s="315" t="inlineStr">
        <is>
          <t>13 mm</t>
        </is>
      </c>
      <c r="M85" s="315" t="inlineStr">
        <is>
          <t>14 mm</t>
        </is>
      </c>
      <c r="N85" s="315" t="inlineStr">
        <is>
          <t>15 mm</t>
        </is>
      </c>
    </row>
    <row r="86">
      <c r="A86" s="384" t="inlineStr">
        <is>
          <t>200/300 (252)</t>
        </is>
      </c>
      <c r="B86" s="420" t="n">
        <v>84.76000000000001</v>
      </c>
      <c r="C86" s="420" t="n">
        <v>89.14</v>
      </c>
      <c r="D86" s="420" t="n">
        <v>98.40000000000001</v>
      </c>
      <c r="E86" s="420" t="n">
        <v>119.94</v>
      </c>
      <c r="F86" s="245" t="n"/>
      <c r="G86" s="245" t="n"/>
      <c r="H86" s="245" t="n"/>
      <c r="I86" s="245" t="n"/>
      <c r="J86" s="245" t="n"/>
      <c r="K86" s="245" t="n"/>
      <c r="L86" s="245" t="n"/>
      <c r="M86" s="245" t="n"/>
      <c r="N86" s="245" t="n"/>
    </row>
    <row r="87">
      <c r="A87" s="384" t="inlineStr">
        <is>
          <t>250/375 (315)</t>
        </is>
      </c>
      <c r="B87" s="420" t="n">
        <v>99.11</v>
      </c>
      <c r="C87" s="420" t="n">
        <v>107.28</v>
      </c>
      <c r="D87" s="420" t="n">
        <v>118.9</v>
      </c>
      <c r="E87" s="420" t="n">
        <v>146.97</v>
      </c>
      <c r="F87" s="245" t="n"/>
      <c r="G87" s="245" t="n"/>
      <c r="H87" s="245" t="n"/>
      <c r="I87" s="245" t="n"/>
      <c r="J87" s="245" t="n"/>
      <c r="K87" s="245" t="n"/>
      <c r="L87" s="245" t="n"/>
      <c r="M87" s="245" t="n"/>
      <c r="N87" s="245" t="n"/>
    </row>
    <row r="88">
      <c r="A88" s="384" t="inlineStr">
        <is>
          <t>300/450 (378)</t>
        </is>
      </c>
      <c r="B88" s="420" t="n">
        <v>115.21</v>
      </c>
      <c r="C88" s="420" t="n">
        <v>126.62</v>
      </c>
      <c r="D88" s="420" t="n">
        <v>139.72</v>
      </c>
      <c r="E88" s="420" t="n">
        <v>169.43</v>
      </c>
      <c r="F88" s="245" t="n"/>
      <c r="G88" s="245" t="n"/>
      <c r="H88" s="245" t="n"/>
      <c r="I88" s="245" t="n"/>
      <c r="J88" s="245" t="n"/>
      <c r="K88" s="245" t="n"/>
      <c r="L88" s="245" t="n"/>
      <c r="M88" s="245" t="n"/>
      <c r="N88" s="245" t="n"/>
    </row>
    <row r="89">
      <c r="A89" s="384" t="inlineStr">
        <is>
          <t>350/525 (442)</t>
        </is>
      </c>
      <c r="B89" s="245" t="n"/>
      <c r="C89" s="420" t="n">
        <v>138.52</v>
      </c>
      <c r="D89" s="420" t="n">
        <v>159.31</v>
      </c>
      <c r="E89" s="420" t="n">
        <v>190.16</v>
      </c>
      <c r="F89" s="420" t="n">
        <v>242.14</v>
      </c>
      <c r="G89" s="245" t="n"/>
      <c r="H89" s="245" t="n"/>
      <c r="I89" s="245" t="n"/>
      <c r="J89" s="245" t="n"/>
      <c r="K89" s="245" t="n"/>
      <c r="L89" s="245" t="n"/>
      <c r="M89" s="245" t="n"/>
      <c r="N89" s="245" t="n"/>
    </row>
    <row r="90">
      <c r="A90" s="384" t="inlineStr">
        <is>
          <t>400/600 (505)</t>
        </is>
      </c>
      <c r="B90" s="245" t="n"/>
      <c r="C90" s="420" t="n">
        <v>160.92</v>
      </c>
      <c r="D90" s="420" t="n">
        <v>178.1</v>
      </c>
      <c r="E90" s="420" t="n">
        <v>215.23</v>
      </c>
      <c r="F90" s="420" t="n">
        <v>267.63</v>
      </c>
      <c r="G90" s="245" t="n"/>
      <c r="H90" s="245" t="n"/>
      <c r="I90" s="245" t="n"/>
      <c r="J90" s="245" t="n"/>
      <c r="K90" s="245" t="n"/>
      <c r="L90" s="245" t="n"/>
      <c r="M90" s="245" t="n"/>
      <c r="N90" s="245" t="n"/>
    </row>
    <row r="91">
      <c r="A91" s="384" t="inlineStr">
        <is>
          <t>500/750 (631)</t>
        </is>
      </c>
      <c r="B91" s="245" t="n"/>
      <c r="C91" s="245" t="n"/>
      <c r="D91" s="420" t="n">
        <v>210.41</v>
      </c>
      <c r="E91" s="420" t="n">
        <v>252.73</v>
      </c>
      <c r="F91" s="420" t="n">
        <v>317.72</v>
      </c>
      <c r="G91" s="420" t="n">
        <v>351.01</v>
      </c>
      <c r="H91" s="420" t="n">
        <v>384.29</v>
      </c>
      <c r="I91" s="245" t="n"/>
      <c r="J91" s="245" t="n"/>
      <c r="K91" s="245" t="n"/>
      <c r="L91" s="245" t="n"/>
      <c r="M91" s="245" t="n"/>
      <c r="N91" s="245" t="n"/>
    </row>
    <row r="92">
      <c r="A92" s="384" t="inlineStr">
        <is>
          <t>600/900 (758)</t>
        </is>
      </c>
      <c r="B92" s="245" t="n"/>
      <c r="C92" s="245" t="n"/>
      <c r="D92" s="245" t="n"/>
      <c r="E92" s="420" t="n">
        <v>307.05</v>
      </c>
      <c r="F92" s="420" t="n">
        <v>384.35</v>
      </c>
      <c r="G92" s="420" t="n">
        <v>422.08</v>
      </c>
      <c r="H92" s="420" t="n">
        <v>463.07</v>
      </c>
      <c r="I92" s="245" t="n"/>
      <c r="J92" s="245" t="n"/>
      <c r="K92" s="245" t="n"/>
      <c r="L92" s="245" t="n"/>
      <c r="M92" s="245" t="n"/>
      <c r="N92" s="245" t="n"/>
    </row>
    <row r="93">
      <c r="A93" s="384" t="inlineStr">
        <is>
          <t>700/1050 (883)</t>
        </is>
      </c>
      <c r="B93" s="245" t="n"/>
      <c r="C93" s="245" t="n"/>
      <c r="D93" s="245" t="n"/>
      <c r="E93" s="420" t="n">
        <v>363.23</v>
      </c>
      <c r="F93" s="420" t="n">
        <v>448.4</v>
      </c>
      <c r="G93" s="420" t="n">
        <v>494.27</v>
      </c>
      <c r="H93" s="420" t="n">
        <v>542.61</v>
      </c>
      <c r="I93" s="420" t="n">
        <v>618.75</v>
      </c>
      <c r="J93" s="245" t="n"/>
      <c r="K93" s="245" t="n"/>
      <c r="L93" s="245" t="n"/>
      <c r="M93" s="245" t="n"/>
      <c r="N93" s="245" t="n"/>
    </row>
    <row r="94">
      <c r="A94" s="384" t="inlineStr">
        <is>
          <t>800/1200 (1010)</t>
        </is>
      </c>
      <c r="B94" s="245" t="n"/>
      <c r="C94" s="245" t="n"/>
      <c r="D94" s="245" t="n"/>
      <c r="E94" s="245" t="n"/>
      <c r="F94" s="245" t="n"/>
      <c r="G94" s="420" t="n">
        <v>553.9400000000001</v>
      </c>
      <c r="H94" s="420" t="n">
        <v>604.39</v>
      </c>
      <c r="I94" s="420" t="n">
        <v>683.28</v>
      </c>
      <c r="J94" s="420" t="n">
        <v>747.6799999999999</v>
      </c>
      <c r="K94" s="420" t="n">
        <v>830.37</v>
      </c>
      <c r="L94" s="245" t="n"/>
      <c r="M94" s="245" t="n"/>
      <c r="N94" s="245" t="n"/>
    </row>
    <row r="95">
      <c r="A95" s="384" t="inlineStr">
        <is>
          <t>900/1350 (1136)</t>
        </is>
      </c>
      <c r="B95" s="245" t="n"/>
      <c r="C95" s="245" t="n"/>
      <c r="D95" s="245" t="n"/>
      <c r="E95" s="245" t="n"/>
      <c r="F95" s="245" t="n"/>
      <c r="G95" s="245" t="n"/>
      <c r="H95" s="420" t="n">
        <v>707.4</v>
      </c>
      <c r="I95" s="420" t="n">
        <v>804.8200000000001</v>
      </c>
      <c r="J95" s="420" t="n">
        <v>883.6799999999999</v>
      </c>
      <c r="K95" s="420" t="n">
        <v>985.98</v>
      </c>
      <c r="L95" s="245" t="n"/>
      <c r="M95" s="245" t="n"/>
      <c r="N95" s="245" t="n"/>
    </row>
    <row r="96">
      <c r="A96" s="384" t="inlineStr">
        <is>
          <t>1000/1500 (1262)</t>
        </is>
      </c>
      <c r="B96" s="245" t="n"/>
      <c r="C96" s="245" t="n"/>
      <c r="D96" s="245" t="n"/>
      <c r="E96" s="245" t="n"/>
      <c r="F96" s="245" t="n"/>
      <c r="G96" s="245" t="n"/>
      <c r="H96" s="420" t="n">
        <v>746.1</v>
      </c>
      <c r="I96" s="420" t="n">
        <v>868.22</v>
      </c>
      <c r="J96" s="420" t="n">
        <v>913.73</v>
      </c>
      <c r="K96" s="420" t="n">
        <v>1007.45</v>
      </c>
      <c r="L96" s="245" t="n"/>
      <c r="M96" s="245" t="n"/>
      <c r="N96" s="245" t="n"/>
    </row>
    <row r="98">
      <c r="A98" s="419" t="inlineStr">
        <is>
          <t>SAERTEX-LINER MULTI Typ E Standard — rond (UP-hars)</t>
        </is>
      </c>
    </row>
    <row r="99" ht="16" customHeight="1">
      <c r="A99" s="315" t="inlineStr">
        <is>
          <t>DN [mm]</t>
        </is>
      </c>
      <c r="B99" s="315" t="inlineStr">
        <is>
          <t>3 mm</t>
        </is>
      </c>
      <c r="C99" s="315" t="inlineStr">
        <is>
          <t>4 mm</t>
        </is>
      </c>
      <c r="D99" s="315" t="inlineStr">
        <is>
          <t>5 mm</t>
        </is>
      </c>
      <c r="E99" s="315" t="inlineStr">
        <is>
          <t>6 mm</t>
        </is>
      </c>
      <c r="F99" s="315" t="inlineStr">
        <is>
          <t>7 mm</t>
        </is>
      </c>
      <c r="G99" s="315" t="inlineStr">
        <is>
          <t>8 mm</t>
        </is>
      </c>
      <c r="H99" s="315" t="inlineStr">
        <is>
          <t>9 mm</t>
        </is>
      </c>
      <c r="I99" s="315" t="inlineStr">
        <is>
          <t>10 mm</t>
        </is>
      </c>
      <c r="J99" s="315" t="inlineStr">
        <is>
          <t>11 mm</t>
        </is>
      </c>
      <c r="K99" s="315" t="inlineStr">
        <is>
          <t>12 mm</t>
        </is>
      </c>
      <c r="L99" s="315" t="inlineStr">
        <is>
          <t>13 mm</t>
        </is>
      </c>
      <c r="M99" s="315" t="inlineStr">
        <is>
          <t>14 mm</t>
        </is>
      </c>
      <c r="N99" s="315" t="inlineStr">
        <is>
          <t>15 mm</t>
        </is>
      </c>
    </row>
    <row r="100">
      <c r="A100" s="384" t="inlineStr">
        <is>
          <t>200</t>
        </is>
      </c>
      <c r="B100" s="420" t="n">
        <v>64.77</v>
      </c>
      <c r="C100" s="420" t="n">
        <v>70.34999999999999</v>
      </c>
      <c r="D100" s="245" t="n"/>
      <c r="E100" s="245" t="n"/>
      <c r="F100" s="245" t="n"/>
      <c r="G100" s="245" t="n"/>
      <c r="H100" s="245" t="n"/>
      <c r="I100" s="245" t="n"/>
      <c r="J100" s="245" t="n"/>
      <c r="K100" s="245" t="n"/>
      <c r="L100" s="245" t="n"/>
      <c r="M100" s="245" t="n"/>
      <c r="N100" s="245" t="n"/>
    </row>
    <row r="101">
      <c r="A101" s="384" t="inlineStr">
        <is>
          <t>225</t>
        </is>
      </c>
      <c r="B101" s="420" t="n">
        <v>69.44</v>
      </c>
      <c r="C101" s="420" t="n">
        <v>76.01000000000001</v>
      </c>
      <c r="D101" s="245" t="n"/>
      <c r="E101" s="245" t="n"/>
      <c r="F101" s="245" t="n"/>
      <c r="G101" s="245" t="n"/>
      <c r="H101" s="245" t="n"/>
      <c r="I101" s="245" t="n"/>
      <c r="J101" s="245" t="n"/>
      <c r="K101" s="245" t="n"/>
      <c r="L101" s="245" t="n"/>
      <c r="M101" s="245" t="n"/>
      <c r="N101" s="245" t="n"/>
    </row>
    <row r="102">
      <c r="A102" s="384" t="inlineStr">
        <is>
          <t>250</t>
        </is>
      </c>
      <c r="B102" s="420" t="n">
        <v>74.16</v>
      </c>
      <c r="C102" s="420" t="n">
        <v>77.98999999999999</v>
      </c>
      <c r="D102" s="245" t="n"/>
      <c r="E102" s="245" t="n"/>
      <c r="F102" s="245" t="n"/>
      <c r="G102" s="245" t="n"/>
      <c r="H102" s="245" t="n"/>
      <c r="I102" s="245" t="n"/>
      <c r="J102" s="245" t="n"/>
      <c r="K102" s="245" t="n"/>
      <c r="L102" s="245" t="n"/>
      <c r="M102" s="245" t="n"/>
      <c r="N102" s="245" t="n"/>
    </row>
    <row r="103">
      <c r="A103" s="384" t="inlineStr">
        <is>
          <t>300</t>
        </is>
      </c>
      <c r="B103" s="420" t="n">
        <v>77.90000000000001</v>
      </c>
      <c r="C103" s="420" t="n">
        <v>91.09999999999999</v>
      </c>
      <c r="D103" s="245" t="n"/>
      <c r="E103" s="245" t="n"/>
      <c r="F103" s="245" t="n"/>
      <c r="G103" s="245" t="n"/>
      <c r="H103" s="245" t="n"/>
      <c r="I103" s="245" t="n"/>
      <c r="J103" s="245" t="n"/>
      <c r="K103" s="245" t="n"/>
      <c r="L103" s="245" t="n"/>
      <c r="M103" s="245" t="n"/>
      <c r="N103" s="245" t="n"/>
    </row>
    <row r="104">
      <c r="A104" s="384" t="inlineStr">
        <is>
          <t>400</t>
        </is>
      </c>
      <c r="B104" s="420" t="n">
        <v>104.64</v>
      </c>
      <c r="C104" s="420" t="n">
        <v>115.33</v>
      </c>
      <c r="D104" s="245" t="n"/>
      <c r="E104" s="245" t="n"/>
      <c r="F104" s="245" t="n"/>
      <c r="G104" s="245" t="n"/>
      <c r="H104" s="245" t="n"/>
      <c r="I104" s="245" t="n"/>
      <c r="J104" s="245" t="n"/>
      <c r="K104" s="245" t="n"/>
      <c r="L104" s="245" t="n"/>
      <c r="M104" s="245" t="n"/>
      <c r="N104" s="245" t="n"/>
    </row>
    <row r="105">
      <c r="A105" s="384" t="inlineStr">
        <is>
          <t>500</t>
        </is>
      </c>
      <c r="B105" s="420" t="n">
        <v>125.68</v>
      </c>
      <c r="C105" s="420" t="n">
        <v>140.81</v>
      </c>
      <c r="D105" s="420" t="n">
        <v>156.72</v>
      </c>
      <c r="E105" s="245" t="n"/>
      <c r="F105" s="245" t="n"/>
      <c r="G105" s="245" t="n"/>
      <c r="H105" s="245" t="n"/>
      <c r="I105" s="245" t="n"/>
      <c r="J105" s="245" t="n"/>
      <c r="K105" s="245" t="n"/>
      <c r="L105" s="245" t="n"/>
      <c r="M105" s="245" t="n"/>
      <c r="N105" s="245" t="n"/>
    </row>
    <row r="106">
      <c r="A106" s="384" t="inlineStr">
        <is>
          <t>600</t>
        </is>
      </c>
      <c r="B106" s="420" t="n">
        <v>141.89</v>
      </c>
      <c r="C106" s="420" t="n">
        <v>161.32</v>
      </c>
      <c r="D106" s="420" t="n">
        <v>180.09</v>
      </c>
      <c r="E106" s="420" t="n">
        <v>215.56</v>
      </c>
      <c r="F106" s="245" t="n"/>
      <c r="G106" s="245" t="n"/>
      <c r="H106" s="245" t="n"/>
      <c r="I106" s="245" t="n"/>
      <c r="J106" s="245" t="n"/>
      <c r="K106" s="245" t="n"/>
      <c r="L106" s="245" t="n"/>
      <c r="M106" s="245" t="n"/>
      <c r="N106" s="245" t="n"/>
    </row>
    <row r="108">
      <c r="A108" s="241" t="inlineStr">
        <is>
          <t>Handlingstoeslag (op linerprijs, afh. van linerlengte):</t>
        </is>
      </c>
    </row>
    <row r="109">
      <c r="A109" t="inlineStr">
        <is>
          <t>&lt; 15 m: +25,0%</t>
        </is>
      </c>
    </row>
    <row r="110">
      <c r="A110" t="inlineStr">
        <is>
          <t>&gt; 15 m: +3,5%</t>
        </is>
      </c>
    </row>
    <row r="111">
      <c r="A111" t="inlineStr">
        <is>
          <t>&gt; 50 m: +2,5%</t>
        </is>
      </c>
    </row>
    <row r="112">
      <c r="A112" t="inlineStr">
        <is>
          <t>&gt; 200 m: +1,0%</t>
        </is>
      </c>
    </row>
    <row r="114">
      <c r="A114" s="241" t="inlineStr">
        <is>
          <t>Liner met dimensiewissel (S+ Standard / FastPlus), vaste prijs per stuk:</t>
        </is>
      </c>
    </row>
    <row r="115">
      <c r="A115" t="inlineStr">
        <is>
          <t>DN 150–600: 1.009,00 €</t>
        </is>
      </c>
    </row>
    <row r="116">
      <c r="A116" t="inlineStr">
        <is>
          <t>DN 601–1050: 1.162,00 €</t>
        </is>
      </c>
    </row>
    <row r="117">
      <c r="A117" t="inlineStr">
        <is>
          <t>DN 1051–1600: 1.676,00 €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8" customWidth="1" min="4" max="4"/>
    <col width="12" customWidth="1" min="5" max="5"/>
  </cols>
  <sheetData>
    <row r="1">
      <c r="A1" s="315" t="inlineStr">
        <is>
          <t>Type</t>
        </is>
      </c>
      <c r="B1" s="315" t="inlineStr">
        <is>
          <t>Profiel</t>
        </is>
      </c>
      <c r="C1" s="315" t="inlineStr">
        <is>
          <t>DN</t>
        </is>
      </c>
      <c r="D1" s="315" t="inlineStr">
        <is>
          <t>Dikte</t>
        </is>
      </c>
      <c r="E1" s="315" t="inlineStr">
        <is>
          <t>Prijs_per_m</t>
        </is>
      </c>
    </row>
    <row r="2">
      <c r="A2" t="inlineStr">
        <is>
          <t>S+</t>
        </is>
      </c>
      <c r="B2" t="inlineStr">
        <is>
          <t>rond</t>
        </is>
      </c>
      <c r="C2" t="n">
        <v>150</v>
      </c>
      <c r="D2" t="n">
        <v>3</v>
      </c>
      <c r="E2" s="424" t="n">
        <v>69.39</v>
      </c>
    </row>
    <row r="3">
      <c r="A3" t="inlineStr">
        <is>
          <t>S+</t>
        </is>
      </c>
      <c r="B3" t="inlineStr">
        <is>
          <t>rond</t>
        </is>
      </c>
      <c r="C3" t="n">
        <v>150</v>
      </c>
      <c r="D3" t="n">
        <v>4</v>
      </c>
      <c r="E3" s="424" t="n">
        <v>75.08</v>
      </c>
    </row>
    <row r="4">
      <c r="A4" t="inlineStr">
        <is>
          <t>S+</t>
        </is>
      </c>
      <c r="B4" t="inlineStr">
        <is>
          <t>rond</t>
        </is>
      </c>
      <c r="C4" t="n">
        <v>200</v>
      </c>
      <c r="D4" t="n">
        <v>3</v>
      </c>
      <c r="E4" s="424" t="n">
        <v>71.17</v>
      </c>
    </row>
    <row r="5">
      <c r="A5" t="inlineStr">
        <is>
          <t>S+</t>
        </is>
      </c>
      <c r="B5" t="inlineStr">
        <is>
          <t>rond</t>
        </is>
      </c>
      <c r="C5" t="n">
        <v>200</v>
      </c>
      <c r="D5" t="n">
        <v>4</v>
      </c>
      <c r="E5" s="424" t="n">
        <v>77.3</v>
      </c>
    </row>
    <row r="6">
      <c r="A6" t="inlineStr">
        <is>
          <t>S+</t>
        </is>
      </c>
      <c r="B6" t="inlineStr">
        <is>
          <t>rond</t>
        </is>
      </c>
      <c r="C6" t="n">
        <v>200</v>
      </c>
      <c r="D6" t="n">
        <v>5</v>
      </c>
      <c r="E6" s="424" t="n">
        <v>85.08</v>
      </c>
    </row>
    <row r="7">
      <c r="A7" t="inlineStr">
        <is>
          <t>S+</t>
        </is>
      </c>
      <c r="B7" t="inlineStr">
        <is>
          <t>rond</t>
        </is>
      </c>
      <c r="C7" t="n">
        <v>200</v>
      </c>
      <c r="D7" t="n">
        <v>6</v>
      </c>
      <c r="E7" s="424" t="n">
        <v>105.16</v>
      </c>
    </row>
    <row r="8">
      <c r="A8" t="inlineStr">
        <is>
          <t>S+</t>
        </is>
      </c>
      <c r="B8" t="inlineStr">
        <is>
          <t>rond</t>
        </is>
      </c>
      <c r="C8" t="n">
        <v>225</v>
      </c>
      <c r="D8" t="n">
        <v>3</v>
      </c>
      <c r="E8" s="424" t="n">
        <v>76.31</v>
      </c>
    </row>
    <row r="9">
      <c r="A9" t="inlineStr">
        <is>
          <t>S+</t>
        </is>
      </c>
      <c r="B9" t="inlineStr">
        <is>
          <t>rond</t>
        </is>
      </c>
      <c r="C9" t="n">
        <v>225</v>
      </c>
      <c r="D9" t="n">
        <v>4</v>
      </c>
      <c r="E9" s="424" t="n">
        <v>83.53</v>
      </c>
    </row>
    <row r="10">
      <c r="A10" t="inlineStr">
        <is>
          <t>S+</t>
        </is>
      </c>
      <c r="B10" t="inlineStr">
        <is>
          <t>rond</t>
        </is>
      </c>
      <c r="C10" t="n">
        <v>225</v>
      </c>
      <c r="D10" t="n">
        <v>5</v>
      </c>
      <c r="E10" s="424" t="n">
        <v>88.45</v>
      </c>
    </row>
    <row r="11">
      <c r="A11" t="inlineStr">
        <is>
          <t>S+</t>
        </is>
      </c>
      <c r="B11" t="inlineStr">
        <is>
          <t>rond</t>
        </is>
      </c>
      <c r="C11" t="n">
        <v>225</v>
      </c>
      <c r="D11" t="n">
        <v>6</v>
      </c>
      <c r="E11" s="424" t="n">
        <v>108.73</v>
      </c>
    </row>
    <row r="12">
      <c r="A12" t="inlineStr">
        <is>
          <t>S+</t>
        </is>
      </c>
      <c r="B12" t="inlineStr">
        <is>
          <t>rond</t>
        </is>
      </c>
      <c r="C12" t="n">
        <v>250</v>
      </c>
      <c r="D12" t="n">
        <v>3</v>
      </c>
      <c r="E12" s="424" t="n">
        <v>81.5</v>
      </c>
    </row>
    <row r="13">
      <c r="A13" t="inlineStr">
        <is>
          <t>S+</t>
        </is>
      </c>
      <c r="B13" t="inlineStr">
        <is>
          <t>rond</t>
        </is>
      </c>
      <c r="C13" t="n">
        <v>250</v>
      </c>
      <c r="D13" t="n">
        <v>4</v>
      </c>
      <c r="E13" s="424" t="n">
        <v>85.70999999999999</v>
      </c>
    </row>
    <row r="14">
      <c r="A14" t="inlineStr">
        <is>
          <t>S+</t>
        </is>
      </c>
      <c r="B14" t="inlineStr">
        <is>
          <t>rond</t>
        </is>
      </c>
      <c r="C14" t="n">
        <v>250</v>
      </c>
      <c r="D14" t="n">
        <v>5</v>
      </c>
      <c r="E14" s="424" t="n">
        <v>94.61</v>
      </c>
    </row>
    <row r="15">
      <c r="A15" t="inlineStr">
        <is>
          <t>S+</t>
        </is>
      </c>
      <c r="B15" t="inlineStr">
        <is>
          <t>rond</t>
        </is>
      </c>
      <c r="C15" t="n">
        <v>250</v>
      </c>
      <c r="D15" t="n">
        <v>6</v>
      </c>
      <c r="E15" s="424" t="n">
        <v>115.33</v>
      </c>
    </row>
    <row r="16">
      <c r="A16" t="inlineStr">
        <is>
          <t>S+</t>
        </is>
      </c>
      <c r="B16" t="inlineStr">
        <is>
          <t>rond</t>
        </is>
      </c>
      <c r="C16" t="n">
        <v>300</v>
      </c>
      <c r="D16" t="n">
        <v>3</v>
      </c>
      <c r="E16" s="424" t="n">
        <v>85.61</v>
      </c>
    </row>
    <row r="17">
      <c r="A17" t="inlineStr">
        <is>
          <t>S+</t>
        </is>
      </c>
      <c r="B17" t="inlineStr">
        <is>
          <t>rond</t>
        </is>
      </c>
      <c r="C17" t="n">
        <v>300</v>
      </c>
      <c r="D17" t="n">
        <v>4</v>
      </c>
      <c r="E17" s="424" t="n">
        <v>100.11</v>
      </c>
    </row>
    <row r="18">
      <c r="A18" t="inlineStr">
        <is>
          <t>S+</t>
        </is>
      </c>
      <c r="B18" t="inlineStr">
        <is>
          <t>rond</t>
        </is>
      </c>
      <c r="C18" t="n">
        <v>300</v>
      </c>
      <c r="D18" t="n">
        <v>5</v>
      </c>
      <c r="E18" s="424" t="n">
        <v>110.76</v>
      </c>
    </row>
    <row r="19">
      <c r="A19" t="inlineStr">
        <is>
          <t>S+</t>
        </is>
      </c>
      <c r="B19" t="inlineStr">
        <is>
          <t>rond</t>
        </is>
      </c>
      <c r="C19" t="n">
        <v>300</v>
      </c>
      <c r="D19" t="n">
        <v>6</v>
      </c>
      <c r="E19" s="424" t="n">
        <v>134.4</v>
      </c>
    </row>
    <row r="20">
      <c r="A20" t="inlineStr">
        <is>
          <t>S+</t>
        </is>
      </c>
      <c r="B20" t="inlineStr">
        <is>
          <t>rond</t>
        </is>
      </c>
      <c r="C20" t="n">
        <v>350</v>
      </c>
      <c r="D20" t="n">
        <v>3</v>
      </c>
      <c r="E20" s="424" t="n">
        <v>105.56</v>
      </c>
    </row>
    <row r="21">
      <c r="A21" t="inlineStr">
        <is>
          <t>S+</t>
        </is>
      </c>
      <c r="B21" t="inlineStr">
        <is>
          <t>rond</t>
        </is>
      </c>
      <c r="C21" t="n">
        <v>350</v>
      </c>
      <c r="D21" t="n">
        <v>4</v>
      </c>
      <c r="E21" s="424" t="n">
        <v>115.13</v>
      </c>
    </row>
    <row r="22">
      <c r="A22" t="inlineStr">
        <is>
          <t>S+</t>
        </is>
      </c>
      <c r="B22" t="inlineStr">
        <is>
          <t>rond</t>
        </is>
      </c>
      <c r="C22" t="n">
        <v>350</v>
      </c>
      <c r="D22" t="n">
        <v>5</v>
      </c>
      <c r="E22" s="424" t="n">
        <v>127.65</v>
      </c>
    </row>
    <row r="23">
      <c r="A23" t="inlineStr">
        <is>
          <t>S+</t>
        </is>
      </c>
      <c r="B23" t="inlineStr">
        <is>
          <t>rond</t>
        </is>
      </c>
      <c r="C23" t="n">
        <v>350</v>
      </c>
      <c r="D23" t="n">
        <v>6</v>
      </c>
      <c r="E23" s="424" t="n">
        <v>153.62</v>
      </c>
    </row>
    <row r="24">
      <c r="A24" t="inlineStr">
        <is>
          <t>S+</t>
        </is>
      </c>
      <c r="B24" t="inlineStr">
        <is>
          <t>rond</t>
        </is>
      </c>
      <c r="C24" t="n">
        <v>400</v>
      </c>
      <c r="D24" t="n">
        <v>3</v>
      </c>
      <c r="E24" s="424" t="n">
        <v>114.99</v>
      </c>
    </row>
    <row r="25">
      <c r="A25" t="inlineStr">
        <is>
          <t>S+</t>
        </is>
      </c>
      <c r="B25" t="inlineStr">
        <is>
          <t>rond</t>
        </is>
      </c>
      <c r="C25" t="n">
        <v>400</v>
      </c>
      <c r="D25" t="n">
        <v>4</v>
      </c>
      <c r="E25" s="424" t="n">
        <v>126.74</v>
      </c>
    </row>
    <row r="26">
      <c r="A26" t="inlineStr">
        <is>
          <t>S+</t>
        </is>
      </c>
      <c r="B26" t="inlineStr">
        <is>
          <t>rond</t>
        </is>
      </c>
      <c r="C26" t="n">
        <v>400</v>
      </c>
      <c r="D26" t="n">
        <v>5</v>
      </c>
      <c r="E26" s="424" t="n">
        <v>139.97</v>
      </c>
    </row>
    <row r="27">
      <c r="A27" t="inlineStr">
        <is>
          <t>S+</t>
        </is>
      </c>
      <c r="B27" t="inlineStr">
        <is>
          <t>rond</t>
        </is>
      </c>
      <c r="C27" t="n">
        <v>400</v>
      </c>
      <c r="D27" t="n">
        <v>6</v>
      </c>
      <c r="E27" s="424" t="n">
        <v>169.69</v>
      </c>
    </row>
    <row r="28">
      <c r="A28" t="inlineStr">
        <is>
          <t>S+</t>
        </is>
      </c>
      <c r="B28" t="inlineStr">
        <is>
          <t>rond</t>
        </is>
      </c>
      <c r="C28" t="n">
        <v>400</v>
      </c>
      <c r="D28" t="n">
        <v>7</v>
      </c>
      <c r="E28" s="424" t="n">
        <v>210.3</v>
      </c>
    </row>
    <row r="29">
      <c r="A29" t="inlineStr">
        <is>
          <t>S+</t>
        </is>
      </c>
      <c r="B29" t="inlineStr">
        <is>
          <t>rond</t>
        </is>
      </c>
      <c r="C29" t="n">
        <v>450</v>
      </c>
      <c r="D29" t="n">
        <v>3</v>
      </c>
      <c r="E29" s="424" t="n">
        <v>125.69</v>
      </c>
    </row>
    <row r="30">
      <c r="A30" t="inlineStr">
        <is>
          <t>S+</t>
        </is>
      </c>
      <c r="B30" t="inlineStr">
        <is>
          <t>rond</t>
        </is>
      </c>
      <c r="C30" t="n">
        <v>450</v>
      </c>
      <c r="D30" t="n">
        <v>4</v>
      </c>
      <c r="E30" s="424" t="n">
        <v>140.08</v>
      </c>
    </row>
    <row r="31">
      <c r="A31" t="inlineStr">
        <is>
          <t>S+</t>
        </is>
      </c>
      <c r="B31" t="inlineStr">
        <is>
          <t>rond</t>
        </is>
      </c>
      <c r="C31" t="n">
        <v>450</v>
      </c>
      <c r="D31" t="n">
        <v>5</v>
      </c>
      <c r="E31" s="424" t="n">
        <v>155.82</v>
      </c>
    </row>
    <row r="32">
      <c r="A32" t="inlineStr">
        <is>
          <t>S+</t>
        </is>
      </c>
      <c r="B32" t="inlineStr">
        <is>
          <t>rond</t>
        </is>
      </c>
      <c r="C32" t="n">
        <v>450</v>
      </c>
      <c r="D32" t="n">
        <v>6</v>
      </c>
      <c r="E32" s="424" t="n">
        <v>186.87</v>
      </c>
    </row>
    <row r="33">
      <c r="A33" t="inlineStr">
        <is>
          <t>S+</t>
        </is>
      </c>
      <c r="B33" t="inlineStr">
        <is>
          <t>rond</t>
        </is>
      </c>
      <c r="C33" t="n">
        <v>450</v>
      </c>
      <c r="D33" t="n">
        <v>7</v>
      </c>
      <c r="E33" s="424" t="n">
        <v>232.83</v>
      </c>
    </row>
    <row r="34">
      <c r="A34" t="inlineStr">
        <is>
          <t>S+</t>
        </is>
      </c>
      <c r="B34" t="inlineStr">
        <is>
          <t>rond</t>
        </is>
      </c>
      <c r="C34" t="n">
        <v>500</v>
      </c>
      <c r="D34" t="n">
        <v>3</v>
      </c>
      <c r="E34" s="424" t="n">
        <v>138.11</v>
      </c>
    </row>
    <row r="35">
      <c r="A35" t="inlineStr">
        <is>
          <t>S+</t>
        </is>
      </c>
      <c r="B35" t="inlineStr">
        <is>
          <t>rond</t>
        </is>
      </c>
      <c r="C35" t="n">
        <v>500</v>
      </c>
      <c r="D35" t="n">
        <v>4</v>
      </c>
      <c r="E35" s="424" t="n">
        <v>154.73</v>
      </c>
    </row>
    <row r="36">
      <c r="A36" t="inlineStr">
        <is>
          <t>S+</t>
        </is>
      </c>
      <c r="B36" t="inlineStr">
        <is>
          <t>rond</t>
        </is>
      </c>
      <c r="C36" t="n">
        <v>500</v>
      </c>
      <c r="D36" t="n">
        <v>5</v>
      </c>
      <c r="E36" s="424" t="n">
        <v>172.22</v>
      </c>
    </row>
    <row r="37">
      <c r="A37" t="inlineStr">
        <is>
          <t>S+</t>
        </is>
      </c>
      <c r="B37" t="inlineStr">
        <is>
          <t>rond</t>
        </is>
      </c>
      <c r="C37" t="n">
        <v>500</v>
      </c>
      <c r="D37" t="n">
        <v>6</v>
      </c>
      <c r="E37" s="424" t="n">
        <v>206.76</v>
      </c>
    </row>
    <row r="38">
      <c r="A38" t="inlineStr">
        <is>
          <t>S+</t>
        </is>
      </c>
      <c r="B38" t="inlineStr">
        <is>
          <t>rond</t>
        </is>
      </c>
      <c r="C38" t="n">
        <v>500</v>
      </c>
      <c r="D38" t="n">
        <v>7</v>
      </c>
      <c r="E38" s="424" t="n">
        <v>256.81</v>
      </c>
    </row>
    <row r="39">
      <c r="A39" t="inlineStr">
        <is>
          <t>S+</t>
        </is>
      </c>
      <c r="B39" t="inlineStr">
        <is>
          <t>rond</t>
        </is>
      </c>
      <c r="C39" t="n">
        <v>500</v>
      </c>
      <c r="D39" t="n">
        <v>8</v>
      </c>
      <c r="E39" s="424" t="n">
        <v>285.29</v>
      </c>
    </row>
    <row r="40">
      <c r="A40" t="inlineStr">
        <is>
          <t>S+</t>
        </is>
      </c>
      <c r="B40" t="inlineStr">
        <is>
          <t>rond</t>
        </is>
      </c>
      <c r="C40" t="n">
        <v>550</v>
      </c>
      <c r="D40" t="n">
        <v>3</v>
      </c>
      <c r="E40" s="424" t="n">
        <v>145.63</v>
      </c>
    </row>
    <row r="41">
      <c r="A41" t="inlineStr">
        <is>
          <t>S+</t>
        </is>
      </c>
      <c r="B41" t="inlineStr">
        <is>
          <t>rond</t>
        </is>
      </c>
      <c r="C41" t="n">
        <v>550</v>
      </c>
      <c r="D41" t="n">
        <v>4</v>
      </c>
      <c r="E41" s="424" t="n">
        <v>160.56</v>
      </c>
    </row>
    <row r="42">
      <c r="A42" t="inlineStr">
        <is>
          <t>S+</t>
        </is>
      </c>
      <c r="B42" t="inlineStr">
        <is>
          <t>rond</t>
        </is>
      </c>
      <c r="C42" t="n">
        <v>550</v>
      </c>
      <c r="D42" t="n">
        <v>5</v>
      </c>
      <c r="E42" s="424" t="n">
        <v>184.88</v>
      </c>
    </row>
    <row r="43">
      <c r="A43" t="inlineStr">
        <is>
          <t>S+</t>
        </is>
      </c>
      <c r="B43" t="inlineStr">
        <is>
          <t>rond</t>
        </is>
      </c>
      <c r="C43" t="n">
        <v>550</v>
      </c>
      <c r="D43" t="n">
        <v>6</v>
      </c>
      <c r="E43" s="424" t="n">
        <v>221.58</v>
      </c>
    </row>
    <row r="44">
      <c r="A44" t="inlineStr">
        <is>
          <t>S+</t>
        </is>
      </c>
      <c r="B44" t="inlineStr">
        <is>
          <t>rond</t>
        </is>
      </c>
      <c r="C44" t="n">
        <v>550</v>
      </c>
      <c r="D44" t="n">
        <v>7</v>
      </c>
      <c r="E44" s="424" t="n">
        <v>275.91</v>
      </c>
    </row>
    <row r="45">
      <c r="A45" t="inlineStr">
        <is>
          <t>S+</t>
        </is>
      </c>
      <c r="B45" t="inlineStr">
        <is>
          <t>rond</t>
        </is>
      </c>
      <c r="C45" t="n">
        <v>550</v>
      </c>
      <c r="D45" t="n">
        <v>8</v>
      </c>
      <c r="E45" s="424" t="n">
        <v>304.97</v>
      </c>
    </row>
    <row r="46">
      <c r="A46" t="inlineStr">
        <is>
          <t>S+</t>
        </is>
      </c>
      <c r="B46" t="inlineStr">
        <is>
          <t>rond</t>
        </is>
      </c>
      <c r="C46" t="n">
        <v>600</v>
      </c>
      <c r="D46" t="n">
        <v>3</v>
      </c>
      <c r="E46" s="424" t="n">
        <v>155.93</v>
      </c>
    </row>
    <row r="47">
      <c r="A47" t="inlineStr">
        <is>
          <t>S+</t>
        </is>
      </c>
      <c r="B47" t="inlineStr">
        <is>
          <t>rond</t>
        </is>
      </c>
      <c r="C47" t="n">
        <v>600</v>
      </c>
      <c r="D47" t="n">
        <v>4</v>
      </c>
      <c r="E47" s="424" t="n">
        <v>177.28</v>
      </c>
    </row>
    <row r="48">
      <c r="A48" t="inlineStr">
        <is>
          <t>S+</t>
        </is>
      </c>
      <c r="B48" t="inlineStr">
        <is>
          <t>rond</t>
        </is>
      </c>
      <c r="C48" t="n">
        <v>600</v>
      </c>
      <c r="D48" t="n">
        <v>5</v>
      </c>
      <c r="E48" s="424" t="n">
        <v>197.9</v>
      </c>
    </row>
    <row r="49">
      <c r="A49" t="inlineStr">
        <is>
          <t>S+</t>
        </is>
      </c>
      <c r="B49" t="inlineStr">
        <is>
          <t>rond</t>
        </is>
      </c>
      <c r="C49" t="n">
        <v>600</v>
      </c>
      <c r="D49" t="n">
        <v>6</v>
      </c>
      <c r="E49" s="424" t="n">
        <v>236.88</v>
      </c>
    </row>
    <row r="50">
      <c r="A50" t="inlineStr">
        <is>
          <t>S+</t>
        </is>
      </c>
      <c r="B50" t="inlineStr">
        <is>
          <t>rond</t>
        </is>
      </c>
      <c r="C50" t="n">
        <v>600</v>
      </c>
      <c r="D50" t="n">
        <v>7</v>
      </c>
      <c r="E50" s="424" t="n">
        <v>295.42</v>
      </c>
    </row>
    <row r="51">
      <c r="A51" t="inlineStr">
        <is>
          <t>S+</t>
        </is>
      </c>
      <c r="B51" t="inlineStr">
        <is>
          <t>rond</t>
        </is>
      </c>
      <c r="C51" t="n">
        <v>600</v>
      </c>
      <c r="D51" t="n">
        <v>8</v>
      </c>
      <c r="E51" s="424" t="n">
        <v>324.65</v>
      </c>
    </row>
    <row r="52">
      <c r="A52" t="inlineStr">
        <is>
          <t>S+</t>
        </is>
      </c>
      <c r="B52" t="inlineStr">
        <is>
          <t>rond</t>
        </is>
      </c>
      <c r="C52" t="n">
        <v>650</v>
      </c>
      <c r="D52" t="n">
        <v>3</v>
      </c>
      <c r="E52" s="424" t="n">
        <v>172.11</v>
      </c>
    </row>
    <row r="53">
      <c r="A53" t="inlineStr">
        <is>
          <t>S+</t>
        </is>
      </c>
      <c r="B53" t="inlineStr">
        <is>
          <t>rond</t>
        </is>
      </c>
      <c r="C53" t="n">
        <v>650</v>
      </c>
      <c r="D53" t="n">
        <v>4</v>
      </c>
      <c r="E53" s="424" t="n">
        <v>190.35</v>
      </c>
    </row>
    <row r="54">
      <c r="A54" t="inlineStr">
        <is>
          <t>S+</t>
        </is>
      </c>
      <c r="B54" t="inlineStr">
        <is>
          <t>rond</t>
        </is>
      </c>
      <c r="C54" t="n">
        <v>650</v>
      </c>
      <c r="D54" t="n">
        <v>5</v>
      </c>
      <c r="E54" s="424" t="n">
        <v>209.48</v>
      </c>
    </row>
    <row r="55">
      <c r="A55" t="inlineStr">
        <is>
          <t>S+</t>
        </is>
      </c>
      <c r="B55" t="inlineStr">
        <is>
          <t>rond</t>
        </is>
      </c>
      <c r="C55" t="n">
        <v>650</v>
      </c>
      <c r="D55" t="n">
        <v>6</v>
      </c>
      <c r="E55" s="424" t="n">
        <v>252.06</v>
      </c>
    </row>
    <row r="56">
      <c r="A56" t="inlineStr">
        <is>
          <t>S+</t>
        </is>
      </c>
      <c r="B56" t="inlineStr">
        <is>
          <t>rond</t>
        </is>
      </c>
      <c r="C56" t="n">
        <v>650</v>
      </c>
      <c r="D56" t="n">
        <v>7</v>
      </c>
      <c r="E56" s="424" t="n">
        <v>314.91</v>
      </c>
    </row>
    <row r="57">
      <c r="A57" t="inlineStr">
        <is>
          <t>S+</t>
        </is>
      </c>
      <c r="B57" t="inlineStr">
        <is>
          <t>rond</t>
        </is>
      </c>
      <c r="C57" t="n">
        <v>650</v>
      </c>
      <c r="D57" t="n">
        <v>8</v>
      </c>
      <c r="E57" s="424" t="n">
        <v>347.06</v>
      </c>
    </row>
    <row r="58">
      <c r="A58" t="inlineStr">
        <is>
          <t>S+</t>
        </is>
      </c>
      <c r="B58" t="inlineStr">
        <is>
          <t>rond</t>
        </is>
      </c>
      <c r="C58" t="n">
        <v>650</v>
      </c>
      <c r="D58" t="n">
        <v>9</v>
      </c>
      <c r="E58" s="424" t="n">
        <v>382.48</v>
      </c>
    </row>
    <row r="59">
      <c r="A59" t="inlineStr">
        <is>
          <t>S+</t>
        </is>
      </c>
      <c r="B59" t="inlineStr">
        <is>
          <t>rond</t>
        </is>
      </c>
      <c r="C59" t="n">
        <v>700</v>
      </c>
      <c r="D59" t="n">
        <v>4</v>
      </c>
      <c r="E59" s="424" t="n">
        <v>209</v>
      </c>
    </row>
    <row r="60">
      <c r="A60" t="inlineStr">
        <is>
          <t>S+</t>
        </is>
      </c>
      <c r="B60" t="inlineStr">
        <is>
          <t>rond</t>
        </is>
      </c>
      <c r="C60" t="n">
        <v>700</v>
      </c>
      <c r="D60" t="n">
        <v>5</v>
      </c>
      <c r="E60" s="424" t="n">
        <v>233.33</v>
      </c>
    </row>
    <row r="61">
      <c r="A61" t="inlineStr">
        <is>
          <t>S+</t>
        </is>
      </c>
      <c r="B61" t="inlineStr">
        <is>
          <t>rond</t>
        </is>
      </c>
      <c r="C61" t="n">
        <v>700</v>
      </c>
      <c r="D61" t="n">
        <v>6</v>
      </c>
      <c r="E61" s="424" t="n">
        <v>277.93</v>
      </c>
    </row>
    <row r="62">
      <c r="A62" t="inlineStr">
        <is>
          <t>S+</t>
        </is>
      </c>
      <c r="B62" t="inlineStr">
        <is>
          <t>rond</t>
        </is>
      </c>
      <c r="C62" t="n">
        <v>700</v>
      </c>
      <c r="D62" t="n">
        <v>7</v>
      </c>
      <c r="E62" s="424" t="n">
        <v>344.84</v>
      </c>
    </row>
    <row r="63">
      <c r="A63" t="inlineStr">
        <is>
          <t>S+</t>
        </is>
      </c>
      <c r="B63" t="inlineStr">
        <is>
          <t>rond</t>
        </is>
      </c>
      <c r="C63" t="n">
        <v>700</v>
      </c>
      <c r="D63" t="n">
        <v>8</v>
      </c>
      <c r="E63" s="424" t="n">
        <v>379.58</v>
      </c>
    </row>
    <row r="64">
      <c r="A64" t="inlineStr">
        <is>
          <t>S+</t>
        </is>
      </c>
      <c r="B64" t="inlineStr">
        <is>
          <t>rond</t>
        </is>
      </c>
      <c r="C64" t="n">
        <v>700</v>
      </c>
      <c r="D64" t="n">
        <v>9</v>
      </c>
      <c r="E64" s="424" t="n">
        <v>415.8</v>
      </c>
    </row>
    <row r="65">
      <c r="A65" t="inlineStr">
        <is>
          <t>S+</t>
        </is>
      </c>
      <c r="B65" t="inlineStr">
        <is>
          <t>rond</t>
        </is>
      </c>
      <c r="C65" t="n">
        <v>750</v>
      </c>
      <c r="D65" t="n">
        <v>4</v>
      </c>
      <c r="E65" s="424" t="n">
        <v>214.02</v>
      </c>
    </row>
    <row r="66">
      <c r="A66" t="inlineStr">
        <is>
          <t>S+</t>
        </is>
      </c>
      <c r="B66" t="inlineStr">
        <is>
          <t>rond</t>
        </is>
      </c>
      <c r="C66" t="n">
        <v>750</v>
      </c>
      <c r="D66" t="n">
        <v>5</v>
      </c>
      <c r="E66" s="424" t="n">
        <v>246.99</v>
      </c>
    </row>
    <row r="67">
      <c r="A67" t="inlineStr">
        <is>
          <t>S+</t>
        </is>
      </c>
      <c r="B67" t="inlineStr">
        <is>
          <t>rond</t>
        </is>
      </c>
      <c r="C67" t="n">
        <v>750</v>
      </c>
      <c r="D67" t="n">
        <v>6</v>
      </c>
      <c r="E67" s="424" t="n">
        <v>293.9</v>
      </c>
    </row>
    <row r="68">
      <c r="A68" t="inlineStr">
        <is>
          <t>S+</t>
        </is>
      </c>
      <c r="B68" t="inlineStr">
        <is>
          <t>rond</t>
        </is>
      </c>
      <c r="C68" t="n">
        <v>750</v>
      </c>
      <c r="D68" t="n">
        <v>7</v>
      </c>
      <c r="E68" s="424" t="n">
        <v>360.04</v>
      </c>
    </row>
    <row r="69">
      <c r="A69" t="inlineStr">
        <is>
          <t>S+</t>
        </is>
      </c>
      <c r="B69" t="inlineStr">
        <is>
          <t>rond</t>
        </is>
      </c>
      <c r="C69" t="n">
        <v>750</v>
      </c>
      <c r="D69" t="n">
        <v>8</v>
      </c>
      <c r="E69" s="424" t="n">
        <v>401.14</v>
      </c>
    </row>
    <row r="70">
      <c r="A70" t="inlineStr">
        <is>
          <t>S+</t>
        </is>
      </c>
      <c r="B70" t="inlineStr">
        <is>
          <t>rond</t>
        </is>
      </c>
      <c r="C70" t="n">
        <v>750</v>
      </c>
      <c r="D70" t="n">
        <v>9</v>
      </c>
      <c r="E70" s="424" t="n">
        <v>439.3</v>
      </c>
    </row>
    <row r="71">
      <c r="A71" t="inlineStr">
        <is>
          <t>S+</t>
        </is>
      </c>
      <c r="B71" t="inlineStr">
        <is>
          <t>rond</t>
        </is>
      </c>
      <c r="C71" t="n">
        <v>800</v>
      </c>
      <c r="D71" t="n">
        <v>4</v>
      </c>
      <c r="E71" s="424" t="n">
        <v>241.59</v>
      </c>
    </row>
    <row r="72">
      <c r="A72" t="inlineStr">
        <is>
          <t>S+</t>
        </is>
      </c>
      <c r="B72" t="inlineStr">
        <is>
          <t>rond</t>
        </is>
      </c>
      <c r="C72" t="n">
        <v>800</v>
      </c>
      <c r="D72" t="n">
        <v>5</v>
      </c>
      <c r="E72" s="424" t="n">
        <v>270.16</v>
      </c>
    </row>
    <row r="73">
      <c r="A73" t="inlineStr">
        <is>
          <t>S+</t>
        </is>
      </c>
      <c r="B73" t="inlineStr">
        <is>
          <t>rond</t>
        </is>
      </c>
      <c r="C73" t="n">
        <v>800</v>
      </c>
      <c r="D73" t="n">
        <v>6</v>
      </c>
      <c r="E73" s="424" t="n">
        <v>319.19</v>
      </c>
    </row>
    <row r="74">
      <c r="A74" t="inlineStr">
        <is>
          <t>S+</t>
        </is>
      </c>
      <c r="B74" t="inlineStr">
        <is>
          <t>rond</t>
        </is>
      </c>
      <c r="C74" t="n">
        <v>800</v>
      </c>
      <c r="D74" t="n">
        <v>7</v>
      </c>
      <c r="E74" s="424" t="n">
        <v>399.98</v>
      </c>
    </row>
    <row r="75">
      <c r="A75" t="inlineStr">
        <is>
          <t>S+</t>
        </is>
      </c>
      <c r="B75" t="inlineStr">
        <is>
          <t>rond</t>
        </is>
      </c>
      <c r="C75" t="n">
        <v>800</v>
      </c>
      <c r="D75" t="n">
        <v>8</v>
      </c>
      <c r="E75" s="424" t="n">
        <v>438.87</v>
      </c>
    </row>
    <row r="76">
      <c r="A76" t="inlineStr">
        <is>
          <t>S+</t>
        </is>
      </c>
      <c r="B76" t="inlineStr">
        <is>
          <t>rond</t>
        </is>
      </c>
      <c r="C76" t="n">
        <v>800</v>
      </c>
      <c r="D76" t="n">
        <v>9</v>
      </c>
      <c r="E76" s="424" t="n">
        <v>481.97</v>
      </c>
    </row>
    <row r="77">
      <c r="A77" t="inlineStr">
        <is>
          <t>S+</t>
        </is>
      </c>
      <c r="B77" t="inlineStr">
        <is>
          <t>rond</t>
        </is>
      </c>
      <c r="C77" t="n">
        <v>800</v>
      </c>
      <c r="D77" t="n">
        <v>10</v>
      </c>
      <c r="E77" s="424" t="n">
        <v>539.8099999999999</v>
      </c>
    </row>
    <row r="78">
      <c r="A78" t="inlineStr">
        <is>
          <t>S+</t>
        </is>
      </c>
      <c r="B78" t="inlineStr">
        <is>
          <t>rond</t>
        </is>
      </c>
      <c r="C78" t="n">
        <v>850</v>
      </c>
      <c r="D78" t="n">
        <v>4</v>
      </c>
      <c r="E78" s="424" t="n">
        <v>252.12</v>
      </c>
    </row>
    <row r="79">
      <c r="A79" t="inlineStr">
        <is>
          <t>S+</t>
        </is>
      </c>
      <c r="B79" t="inlineStr">
        <is>
          <t>rond</t>
        </is>
      </c>
      <c r="C79" t="n">
        <v>850</v>
      </c>
      <c r="D79" t="n">
        <v>5</v>
      </c>
      <c r="E79" s="424" t="n">
        <v>283.15</v>
      </c>
    </row>
    <row r="80">
      <c r="A80" t="inlineStr">
        <is>
          <t>S+</t>
        </is>
      </c>
      <c r="B80" t="inlineStr">
        <is>
          <t>rond</t>
        </is>
      </c>
      <c r="C80" t="n">
        <v>850</v>
      </c>
      <c r="D80" t="n">
        <v>6</v>
      </c>
      <c r="E80" s="424" t="n">
        <v>335.65</v>
      </c>
    </row>
    <row r="81">
      <c r="A81" t="inlineStr">
        <is>
          <t>S+</t>
        </is>
      </c>
      <c r="B81" t="inlineStr">
        <is>
          <t>rond</t>
        </is>
      </c>
      <c r="C81" t="n">
        <v>850</v>
      </c>
      <c r="D81" t="n">
        <v>7</v>
      </c>
      <c r="E81" s="424" t="n">
        <v>418.2</v>
      </c>
    </row>
    <row r="82">
      <c r="A82" t="inlineStr">
        <is>
          <t>S+</t>
        </is>
      </c>
      <c r="B82" t="inlineStr">
        <is>
          <t>rond</t>
        </is>
      </c>
      <c r="C82" t="n">
        <v>850</v>
      </c>
      <c r="D82" t="n">
        <v>8</v>
      </c>
      <c r="E82" s="424" t="n">
        <v>460.2</v>
      </c>
    </row>
    <row r="83">
      <c r="A83" t="inlineStr">
        <is>
          <t>S+</t>
        </is>
      </c>
      <c r="B83" t="inlineStr">
        <is>
          <t>rond</t>
        </is>
      </c>
      <c r="C83" t="n">
        <v>850</v>
      </c>
      <c r="D83" t="n">
        <v>9</v>
      </c>
      <c r="E83" s="424" t="n">
        <v>502.2</v>
      </c>
    </row>
    <row r="84">
      <c r="A84" t="inlineStr">
        <is>
          <t>S+</t>
        </is>
      </c>
      <c r="B84" t="inlineStr">
        <is>
          <t>rond</t>
        </is>
      </c>
      <c r="C84" t="n">
        <v>850</v>
      </c>
      <c r="D84" t="n">
        <v>10</v>
      </c>
      <c r="E84" s="424" t="n">
        <v>574.6900000000001</v>
      </c>
    </row>
    <row r="85">
      <c r="A85" t="inlineStr">
        <is>
          <t>S+</t>
        </is>
      </c>
      <c r="B85" t="inlineStr">
        <is>
          <t>rond</t>
        </is>
      </c>
      <c r="C85" t="n">
        <v>900</v>
      </c>
      <c r="D85" t="n">
        <v>5</v>
      </c>
      <c r="E85" s="424" t="n">
        <v>301.53</v>
      </c>
    </row>
    <row r="86">
      <c r="A86" t="inlineStr">
        <is>
          <t>S+</t>
        </is>
      </c>
      <c r="B86" t="inlineStr">
        <is>
          <t>rond</t>
        </is>
      </c>
      <c r="C86" t="n">
        <v>900</v>
      </c>
      <c r="D86" t="n">
        <v>6</v>
      </c>
      <c r="E86" s="424" t="n">
        <v>355.99</v>
      </c>
    </row>
    <row r="87">
      <c r="A87" t="inlineStr">
        <is>
          <t>S+</t>
        </is>
      </c>
      <c r="B87" t="inlineStr">
        <is>
          <t>rond</t>
        </is>
      </c>
      <c r="C87" t="n">
        <v>900</v>
      </c>
      <c r="D87" t="n">
        <v>7</v>
      </c>
      <c r="E87" s="424" t="n">
        <v>444.11</v>
      </c>
    </row>
    <row r="88">
      <c r="A88" t="inlineStr">
        <is>
          <t>S+</t>
        </is>
      </c>
      <c r="B88" t="inlineStr">
        <is>
          <t>rond</t>
        </is>
      </c>
      <c r="C88" t="n">
        <v>900</v>
      </c>
      <c r="D88" t="n">
        <v>8</v>
      </c>
      <c r="E88" s="424" t="n">
        <v>489.41</v>
      </c>
    </row>
    <row r="89">
      <c r="A89" t="inlineStr">
        <is>
          <t>S+</t>
        </is>
      </c>
      <c r="B89" t="inlineStr">
        <is>
          <t>rond</t>
        </is>
      </c>
      <c r="C89" t="n">
        <v>900</v>
      </c>
      <c r="D89" t="n">
        <v>9</v>
      </c>
      <c r="E89" s="424" t="n">
        <v>536.48</v>
      </c>
    </row>
    <row r="90">
      <c r="A90" t="inlineStr">
        <is>
          <t>S+</t>
        </is>
      </c>
      <c r="B90" t="inlineStr">
        <is>
          <t>rond</t>
        </is>
      </c>
      <c r="C90" t="n">
        <v>900</v>
      </c>
      <c r="D90" t="n">
        <v>10</v>
      </c>
      <c r="E90" s="424" t="n">
        <v>612.79</v>
      </c>
    </row>
    <row r="91">
      <c r="A91" t="inlineStr">
        <is>
          <t>S+</t>
        </is>
      </c>
      <c r="B91" t="inlineStr">
        <is>
          <t>rond</t>
        </is>
      </c>
      <c r="C91" t="n">
        <v>900</v>
      </c>
      <c r="D91" t="n">
        <v>11</v>
      </c>
      <c r="E91" s="424" t="n">
        <v>665.75</v>
      </c>
    </row>
    <row r="92">
      <c r="A92" t="inlineStr">
        <is>
          <t>S+</t>
        </is>
      </c>
      <c r="B92" t="inlineStr">
        <is>
          <t>rond</t>
        </is>
      </c>
      <c r="C92" t="n">
        <v>900</v>
      </c>
      <c r="D92" t="n">
        <v>12</v>
      </c>
      <c r="E92" s="424" t="n">
        <v>746.89</v>
      </c>
    </row>
    <row r="93">
      <c r="A93" t="inlineStr">
        <is>
          <t>S+</t>
        </is>
      </c>
      <c r="B93" t="inlineStr">
        <is>
          <t>rond</t>
        </is>
      </c>
      <c r="C93" t="n">
        <v>950</v>
      </c>
      <c r="D93" t="n">
        <v>5</v>
      </c>
      <c r="E93" s="424" t="n">
        <v>314.42</v>
      </c>
    </row>
    <row r="94">
      <c r="A94" t="inlineStr">
        <is>
          <t>S+</t>
        </is>
      </c>
      <c r="B94" t="inlineStr">
        <is>
          <t>rond</t>
        </is>
      </c>
      <c r="C94" t="n">
        <v>950</v>
      </c>
      <c r="D94" t="n">
        <v>6</v>
      </c>
      <c r="E94" s="424" t="n">
        <v>372.88</v>
      </c>
    </row>
    <row r="95">
      <c r="A95" t="inlineStr">
        <is>
          <t>S+</t>
        </is>
      </c>
      <c r="B95" t="inlineStr">
        <is>
          <t>rond</t>
        </is>
      </c>
      <c r="C95" t="n">
        <v>950</v>
      </c>
      <c r="D95" t="n">
        <v>7</v>
      </c>
      <c r="E95" s="424" t="n">
        <v>472.1</v>
      </c>
    </row>
    <row r="96">
      <c r="A96" t="inlineStr">
        <is>
          <t>S+</t>
        </is>
      </c>
      <c r="B96" t="inlineStr">
        <is>
          <t>rond</t>
        </is>
      </c>
      <c r="C96" t="n">
        <v>950</v>
      </c>
      <c r="D96" t="n">
        <v>8</v>
      </c>
      <c r="E96" s="424" t="n">
        <v>511.88</v>
      </c>
    </row>
    <row r="97">
      <c r="A97" t="inlineStr">
        <is>
          <t>S+</t>
        </is>
      </c>
      <c r="B97" t="inlineStr">
        <is>
          <t>rond</t>
        </is>
      </c>
      <c r="C97" t="n">
        <v>950</v>
      </c>
      <c r="D97" t="n">
        <v>9</v>
      </c>
      <c r="E97" s="424" t="n">
        <v>573.3099999999999</v>
      </c>
    </row>
    <row r="98">
      <c r="A98" t="inlineStr">
        <is>
          <t>S+</t>
        </is>
      </c>
      <c r="B98" t="inlineStr">
        <is>
          <t>rond</t>
        </is>
      </c>
      <c r="C98" t="n">
        <v>950</v>
      </c>
      <c r="D98" t="n">
        <v>10</v>
      </c>
      <c r="E98" s="424" t="n">
        <v>634.72</v>
      </c>
    </row>
    <row r="99">
      <c r="A99" t="inlineStr">
        <is>
          <t>S+</t>
        </is>
      </c>
      <c r="B99" t="inlineStr">
        <is>
          <t>rond</t>
        </is>
      </c>
      <c r="C99" t="n">
        <v>950</v>
      </c>
      <c r="D99" t="n">
        <v>11</v>
      </c>
      <c r="E99" s="424" t="n">
        <v>699.73</v>
      </c>
    </row>
    <row r="100">
      <c r="A100" t="inlineStr">
        <is>
          <t>S+</t>
        </is>
      </c>
      <c r="B100" t="inlineStr">
        <is>
          <t>rond</t>
        </is>
      </c>
      <c r="C100" t="n">
        <v>950</v>
      </c>
      <c r="D100" t="n">
        <v>12</v>
      </c>
      <c r="E100" s="424" t="n">
        <v>764.71</v>
      </c>
    </row>
    <row r="101">
      <c r="A101" t="inlineStr">
        <is>
          <t>S+</t>
        </is>
      </c>
      <c r="B101" t="inlineStr">
        <is>
          <t>rond</t>
        </is>
      </c>
      <c r="C101" t="n">
        <v>1000</v>
      </c>
      <c r="D101" t="n">
        <v>5</v>
      </c>
      <c r="E101" s="424" t="n">
        <v>322.27</v>
      </c>
    </row>
    <row r="102">
      <c r="A102" t="inlineStr">
        <is>
          <t>S+</t>
        </is>
      </c>
      <c r="B102" t="inlineStr">
        <is>
          <t>rond</t>
        </is>
      </c>
      <c r="C102" t="n">
        <v>1000</v>
      </c>
      <c r="D102" t="n">
        <v>6</v>
      </c>
      <c r="E102" s="424" t="n">
        <v>381.5</v>
      </c>
    </row>
    <row r="103">
      <c r="A103" t="inlineStr">
        <is>
          <t>S+</t>
        </is>
      </c>
      <c r="B103" t="inlineStr">
        <is>
          <t>rond</t>
        </is>
      </c>
      <c r="C103" t="n">
        <v>1000</v>
      </c>
      <c r="D103" t="n">
        <v>7</v>
      </c>
      <c r="E103" s="424" t="n">
        <v>479.82</v>
      </c>
    </row>
    <row r="104">
      <c r="A104" t="inlineStr">
        <is>
          <t>S+</t>
        </is>
      </c>
      <c r="B104" t="inlineStr">
        <is>
          <t>rond</t>
        </is>
      </c>
      <c r="C104" t="n">
        <v>1000</v>
      </c>
      <c r="D104" t="n">
        <v>8</v>
      </c>
      <c r="E104" s="424" t="n">
        <v>523.85</v>
      </c>
    </row>
    <row r="105">
      <c r="A105" t="inlineStr">
        <is>
          <t>S+</t>
        </is>
      </c>
      <c r="B105" t="inlineStr">
        <is>
          <t>rond</t>
        </is>
      </c>
      <c r="C105" t="n">
        <v>1000</v>
      </c>
      <c r="D105" t="n">
        <v>9</v>
      </c>
      <c r="E105" s="424" t="n">
        <v>574.72</v>
      </c>
    </row>
    <row r="106">
      <c r="A106" t="inlineStr">
        <is>
          <t>S+</t>
        </is>
      </c>
      <c r="B106" t="inlineStr">
        <is>
          <t>rond</t>
        </is>
      </c>
      <c r="C106" t="n">
        <v>1000</v>
      </c>
      <c r="D106" t="n">
        <v>10</v>
      </c>
      <c r="E106" s="424" t="n">
        <v>648.84</v>
      </c>
    </row>
    <row r="107">
      <c r="A107" t="inlineStr">
        <is>
          <t>S+</t>
        </is>
      </c>
      <c r="B107" t="inlineStr">
        <is>
          <t>rond</t>
        </is>
      </c>
      <c r="C107" t="n">
        <v>1000</v>
      </c>
      <c r="D107" t="n">
        <v>11</v>
      </c>
      <c r="E107" s="424" t="n">
        <v>710.52</v>
      </c>
    </row>
    <row r="108">
      <c r="A108" t="inlineStr">
        <is>
          <t>S+</t>
        </is>
      </c>
      <c r="B108" t="inlineStr">
        <is>
          <t>rond</t>
        </is>
      </c>
      <c r="C108" t="n">
        <v>1000</v>
      </c>
      <c r="D108" t="n">
        <v>12</v>
      </c>
      <c r="E108" s="424" t="n">
        <v>787.71</v>
      </c>
    </row>
    <row r="109">
      <c r="A109" t="inlineStr">
        <is>
          <t>S+</t>
        </is>
      </c>
      <c r="B109" t="inlineStr">
        <is>
          <t>rond</t>
        </is>
      </c>
      <c r="C109" t="n">
        <v>1050</v>
      </c>
      <c r="D109" t="n">
        <v>6</v>
      </c>
      <c r="E109" s="424" t="n">
        <v>439.71</v>
      </c>
    </row>
    <row r="110">
      <c r="A110" t="inlineStr">
        <is>
          <t>S+</t>
        </is>
      </c>
      <c r="B110" t="inlineStr">
        <is>
          <t>rond</t>
        </is>
      </c>
      <c r="C110" t="n">
        <v>1050</v>
      </c>
      <c r="D110" t="n">
        <v>7</v>
      </c>
      <c r="E110" s="424" t="n">
        <v>501.07</v>
      </c>
    </row>
    <row r="111">
      <c r="A111" t="inlineStr">
        <is>
          <t>S+</t>
        </is>
      </c>
      <c r="B111" t="inlineStr">
        <is>
          <t>rond</t>
        </is>
      </c>
      <c r="C111" t="n">
        <v>1050</v>
      </c>
      <c r="D111" t="n">
        <v>8</v>
      </c>
      <c r="E111" s="424" t="n">
        <v>546.6</v>
      </c>
    </row>
    <row r="112">
      <c r="A112" t="inlineStr">
        <is>
          <t>S+</t>
        </is>
      </c>
      <c r="B112" t="inlineStr">
        <is>
          <t>rond</t>
        </is>
      </c>
      <c r="C112" t="n">
        <v>1050</v>
      </c>
      <c r="D112" t="n">
        <v>9</v>
      </c>
      <c r="E112" s="424" t="n">
        <v>623.02</v>
      </c>
    </row>
    <row r="113">
      <c r="A113" t="inlineStr">
        <is>
          <t>S+</t>
        </is>
      </c>
      <c r="B113" t="inlineStr">
        <is>
          <t>rond</t>
        </is>
      </c>
      <c r="C113" t="n">
        <v>1050</v>
      </c>
      <c r="D113" t="n">
        <v>10</v>
      </c>
      <c r="E113" s="424" t="n">
        <v>704.98</v>
      </c>
    </row>
    <row r="114">
      <c r="A114" t="inlineStr">
        <is>
          <t>S+</t>
        </is>
      </c>
      <c r="B114" t="inlineStr">
        <is>
          <t>rond</t>
        </is>
      </c>
      <c r="C114" t="n">
        <v>1050</v>
      </c>
      <c r="D114" t="n">
        <v>11</v>
      </c>
      <c r="E114" s="424" t="n">
        <v>738.8099999999999</v>
      </c>
    </row>
    <row r="115">
      <c r="A115" t="inlineStr">
        <is>
          <t>S+</t>
        </is>
      </c>
      <c r="B115" t="inlineStr">
        <is>
          <t>rond</t>
        </is>
      </c>
      <c r="C115" t="n">
        <v>1050</v>
      </c>
      <c r="D115" t="n">
        <v>12</v>
      </c>
      <c r="E115" s="424" t="n">
        <v>825.28</v>
      </c>
    </row>
    <row r="116">
      <c r="A116" t="inlineStr">
        <is>
          <t>S+</t>
        </is>
      </c>
      <c r="B116" t="inlineStr">
        <is>
          <t>rond</t>
        </is>
      </c>
      <c r="C116" t="n">
        <v>1050</v>
      </c>
      <c r="D116" t="n">
        <v>13</v>
      </c>
      <c r="E116" s="424" t="n">
        <v>838.4299999999999</v>
      </c>
    </row>
    <row r="117">
      <c r="A117" t="inlineStr">
        <is>
          <t>S+</t>
        </is>
      </c>
      <c r="B117" t="inlineStr">
        <is>
          <t>rond</t>
        </is>
      </c>
      <c r="C117" t="n">
        <v>1100</v>
      </c>
      <c r="D117" t="n">
        <v>6</v>
      </c>
      <c r="E117" s="424" t="n">
        <v>488.7</v>
      </c>
    </row>
    <row r="118">
      <c r="A118" t="inlineStr">
        <is>
          <t>S+</t>
        </is>
      </c>
      <c r="B118" t="inlineStr">
        <is>
          <t>rond</t>
        </is>
      </c>
      <c r="C118" t="n">
        <v>1100</v>
      </c>
      <c r="D118" t="n">
        <v>7</v>
      </c>
      <c r="E118" s="424" t="n">
        <v>553.75</v>
      </c>
    </row>
    <row r="119">
      <c r="A119" t="inlineStr">
        <is>
          <t>S+</t>
        </is>
      </c>
      <c r="B119" t="inlineStr">
        <is>
          <t>rond</t>
        </is>
      </c>
      <c r="C119" t="n">
        <v>1100</v>
      </c>
      <c r="D119" t="n">
        <v>8</v>
      </c>
      <c r="E119" s="424" t="n">
        <v>610.52</v>
      </c>
    </row>
    <row r="120">
      <c r="A120" t="inlineStr">
        <is>
          <t>S+</t>
        </is>
      </c>
      <c r="B120" t="inlineStr">
        <is>
          <t>rond</t>
        </is>
      </c>
      <c r="C120" t="n">
        <v>1100</v>
      </c>
      <c r="D120" t="n">
        <v>9</v>
      </c>
      <c r="E120" s="424" t="n">
        <v>679.96</v>
      </c>
    </row>
    <row r="121">
      <c r="A121" t="inlineStr">
        <is>
          <t>S+</t>
        </is>
      </c>
      <c r="B121" t="inlineStr">
        <is>
          <t>rond</t>
        </is>
      </c>
      <c r="C121" t="n">
        <v>1100</v>
      </c>
      <c r="D121" t="n">
        <v>10</v>
      </c>
      <c r="E121" s="424" t="n">
        <v>770.91</v>
      </c>
    </row>
    <row r="122">
      <c r="A122" t="inlineStr">
        <is>
          <t>S+</t>
        </is>
      </c>
      <c r="B122" t="inlineStr">
        <is>
          <t>rond</t>
        </is>
      </c>
      <c r="C122" t="n">
        <v>1100</v>
      </c>
      <c r="D122" t="n">
        <v>11</v>
      </c>
      <c r="E122" s="424" t="n">
        <v>820.62</v>
      </c>
    </row>
    <row r="123">
      <c r="A123" t="inlineStr">
        <is>
          <t>S+</t>
        </is>
      </c>
      <c r="B123" t="inlineStr">
        <is>
          <t>rond</t>
        </is>
      </c>
      <c r="C123" t="n">
        <v>1100</v>
      </c>
      <c r="D123" t="n">
        <v>12</v>
      </c>
      <c r="E123" s="424" t="n">
        <v>886.2</v>
      </c>
    </row>
    <row r="124">
      <c r="A124" t="inlineStr">
        <is>
          <t>S+</t>
        </is>
      </c>
      <c r="B124" t="inlineStr">
        <is>
          <t>rond</t>
        </is>
      </c>
      <c r="C124" t="n">
        <v>1100</v>
      </c>
      <c r="D124" t="n">
        <v>13</v>
      </c>
      <c r="E124" s="424" t="n">
        <v>951.78</v>
      </c>
    </row>
    <row r="125">
      <c r="A125" t="inlineStr">
        <is>
          <t>S+</t>
        </is>
      </c>
      <c r="B125" t="inlineStr">
        <is>
          <t>rond</t>
        </is>
      </c>
      <c r="C125" t="n">
        <v>1150</v>
      </c>
      <c r="D125" t="n">
        <v>6</v>
      </c>
      <c r="E125" s="424" t="n">
        <v>507.24</v>
      </c>
    </row>
    <row r="126">
      <c r="A126" t="inlineStr">
        <is>
          <t>S+</t>
        </is>
      </c>
      <c r="B126" t="inlineStr">
        <is>
          <t>rond</t>
        </is>
      </c>
      <c r="C126" t="n">
        <v>1150</v>
      </c>
      <c r="D126" t="n">
        <v>7</v>
      </c>
      <c r="E126" s="424" t="n">
        <v>574.73</v>
      </c>
    </row>
    <row r="127">
      <c r="A127" t="inlineStr">
        <is>
          <t>S+</t>
        </is>
      </c>
      <c r="B127" t="inlineStr">
        <is>
          <t>rond</t>
        </is>
      </c>
      <c r="C127" t="n">
        <v>1150</v>
      </c>
      <c r="D127" t="n">
        <v>8</v>
      </c>
      <c r="E127" s="424" t="n">
        <v>624.52</v>
      </c>
    </row>
    <row r="128">
      <c r="A128" t="inlineStr">
        <is>
          <t>S+</t>
        </is>
      </c>
      <c r="B128" t="inlineStr">
        <is>
          <t>rond</t>
        </is>
      </c>
      <c r="C128" t="n">
        <v>1150</v>
      </c>
      <c r="D128" t="n">
        <v>9</v>
      </c>
      <c r="E128" s="424" t="n">
        <v>700.88</v>
      </c>
    </row>
    <row r="129">
      <c r="A129" t="inlineStr">
        <is>
          <t>S+</t>
        </is>
      </c>
      <c r="B129" t="inlineStr">
        <is>
          <t>rond</t>
        </is>
      </c>
      <c r="C129" t="n">
        <v>1150</v>
      </c>
      <c r="D129" t="n">
        <v>10</v>
      </c>
      <c r="E129" s="424" t="n">
        <v>769.6900000000001</v>
      </c>
    </row>
    <row r="130">
      <c r="A130" t="inlineStr">
        <is>
          <t>S+</t>
        </is>
      </c>
      <c r="B130" t="inlineStr">
        <is>
          <t>rond</t>
        </is>
      </c>
      <c r="C130" t="n">
        <v>1150</v>
      </c>
      <c r="D130" t="n">
        <v>11</v>
      </c>
      <c r="E130" s="424" t="n">
        <v>849.6900000000001</v>
      </c>
    </row>
    <row r="131">
      <c r="A131" t="inlineStr">
        <is>
          <t>S+</t>
        </is>
      </c>
      <c r="B131" t="inlineStr">
        <is>
          <t>rond</t>
        </is>
      </c>
      <c r="C131" t="n">
        <v>1150</v>
      </c>
      <c r="D131" t="n">
        <v>12</v>
      </c>
      <c r="E131" s="424" t="n">
        <v>948.05</v>
      </c>
    </row>
    <row r="132">
      <c r="A132" t="inlineStr">
        <is>
          <t>S+</t>
        </is>
      </c>
      <c r="B132" t="inlineStr">
        <is>
          <t>rond</t>
        </is>
      </c>
      <c r="C132" t="n">
        <v>1150</v>
      </c>
      <c r="D132" t="n">
        <v>13</v>
      </c>
      <c r="E132" s="424" t="n">
        <v>988.6799999999999</v>
      </c>
    </row>
    <row r="133">
      <c r="A133" t="inlineStr">
        <is>
          <t>S+</t>
        </is>
      </c>
      <c r="B133" t="inlineStr">
        <is>
          <t>rond</t>
        </is>
      </c>
      <c r="C133" t="n">
        <v>1150</v>
      </c>
      <c r="D133" t="n">
        <v>14</v>
      </c>
      <c r="E133" s="424" t="n">
        <v>1065.07</v>
      </c>
    </row>
    <row r="134">
      <c r="A134" t="inlineStr">
        <is>
          <t>S+</t>
        </is>
      </c>
      <c r="B134" t="inlineStr">
        <is>
          <t>rond</t>
        </is>
      </c>
      <c r="C134" t="n">
        <v>1150</v>
      </c>
      <c r="D134" t="n">
        <v>15</v>
      </c>
      <c r="E134" s="424" t="n">
        <v>1141.43</v>
      </c>
    </row>
    <row r="135">
      <c r="A135" t="inlineStr">
        <is>
          <t>S+</t>
        </is>
      </c>
      <c r="B135" t="inlineStr">
        <is>
          <t>rond</t>
        </is>
      </c>
      <c r="C135" t="n">
        <v>1200</v>
      </c>
      <c r="D135" t="n">
        <v>6</v>
      </c>
      <c r="E135" s="424" t="n">
        <v>509.03</v>
      </c>
    </row>
    <row r="136">
      <c r="A136" t="inlineStr">
        <is>
          <t>S+</t>
        </is>
      </c>
      <c r="B136" t="inlineStr">
        <is>
          <t>rond</t>
        </is>
      </c>
      <c r="C136" t="n">
        <v>1200</v>
      </c>
      <c r="D136" t="n">
        <v>7</v>
      </c>
      <c r="E136" s="424" t="n">
        <v>576.72</v>
      </c>
    </row>
    <row r="137">
      <c r="A137" t="inlineStr">
        <is>
          <t>S+</t>
        </is>
      </c>
      <c r="B137" t="inlineStr">
        <is>
          <t>rond</t>
        </is>
      </c>
      <c r="C137" t="n">
        <v>1200</v>
      </c>
      <c r="D137" t="n">
        <v>8</v>
      </c>
      <c r="E137" s="424" t="n">
        <v>628.88</v>
      </c>
    </row>
    <row r="138">
      <c r="A138" t="inlineStr">
        <is>
          <t>S+</t>
        </is>
      </c>
      <c r="B138" t="inlineStr">
        <is>
          <t>rond</t>
        </is>
      </c>
      <c r="C138" t="n">
        <v>1200</v>
      </c>
      <c r="D138" t="n">
        <v>9</v>
      </c>
      <c r="E138" s="424" t="n">
        <v>698.8200000000001</v>
      </c>
    </row>
    <row r="139">
      <c r="A139" t="inlineStr">
        <is>
          <t>S+</t>
        </is>
      </c>
      <c r="B139" t="inlineStr">
        <is>
          <t>rond</t>
        </is>
      </c>
      <c r="C139" t="n">
        <v>1200</v>
      </c>
      <c r="D139" t="n">
        <v>10</v>
      </c>
      <c r="E139" s="424" t="n">
        <v>793.21</v>
      </c>
    </row>
    <row r="140">
      <c r="A140" t="inlineStr">
        <is>
          <t>S+</t>
        </is>
      </c>
      <c r="B140" t="inlineStr">
        <is>
          <t>rond</t>
        </is>
      </c>
      <c r="C140" t="n">
        <v>1200</v>
      </c>
      <c r="D140" t="n">
        <v>11</v>
      </c>
      <c r="E140" s="424" t="n">
        <v>850.78</v>
      </c>
    </row>
    <row r="141">
      <c r="A141" t="inlineStr">
        <is>
          <t>S+</t>
        </is>
      </c>
      <c r="B141" t="inlineStr">
        <is>
          <t>rond</t>
        </is>
      </c>
      <c r="C141" t="n">
        <v>1200</v>
      </c>
      <c r="D141" t="n">
        <v>12</v>
      </c>
      <c r="E141" s="424" t="n">
        <v>977.74</v>
      </c>
    </row>
    <row r="142">
      <c r="A142" t="inlineStr">
        <is>
          <t>S+</t>
        </is>
      </c>
      <c r="B142" t="inlineStr">
        <is>
          <t>rond</t>
        </is>
      </c>
      <c r="C142" t="n">
        <v>1200</v>
      </c>
      <c r="D142" t="n">
        <v>13</v>
      </c>
      <c r="E142" s="424" t="n">
        <v>992.89</v>
      </c>
    </row>
    <row r="143">
      <c r="A143" t="inlineStr">
        <is>
          <t>S+</t>
        </is>
      </c>
      <c r="B143" t="inlineStr">
        <is>
          <t>rond</t>
        </is>
      </c>
      <c r="C143" t="n">
        <v>1200</v>
      </c>
      <c r="D143" t="n">
        <v>14</v>
      </c>
      <c r="E143" s="424" t="n">
        <v>1086.61</v>
      </c>
    </row>
    <row r="144">
      <c r="A144" t="inlineStr">
        <is>
          <t>S+</t>
        </is>
      </c>
      <c r="B144" t="inlineStr">
        <is>
          <t>rond</t>
        </is>
      </c>
      <c r="C144" t="n">
        <v>1200</v>
      </c>
      <c r="D144" t="n">
        <v>15</v>
      </c>
      <c r="E144" s="424" t="n">
        <v>1149.36</v>
      </c>
    </row>
    <row r="145">
      <c r="A145" t="inlineStr">
        <is>
          <t>S+</t>
        </is>
      </c>
      <c r="B145" t="inlineStr">
        <is>
          <t>rond</t>
        </is>
      </c>
      <c r="C145" t="n">
        <v>1250</v>
      </c>
      <c r="D145" t="n">
        <v>7</v>
      </c>
      <c r="E145" s="424" t="n">
        <v>596.66</v>
      </c>
    </row>
    <row r="146">
      <c r="A146" t="inlineStr">
        <is>
          <t>S+</t>
        </is>
      </c>
      <c r="B146" t="inlineStr">
        <is>
          <t>rond</t>
        </is>
      </c>
      <c r="C146" t="n">
        <v>1250</v>
      </c>
      <c r="D146" t="n">
        <v>8</v>
      </c>
      <c r="E146" s="424" t="n">
        <v>653.0700000000001</v>
      </c>
    </row>
    <row r="147">
      <c r="A147" t="inlineStr">
        <is>
          <t>S+</t>
        </is>
      </c>
      <c r="B147" t="inlineStr">
        <is>
          <t>rond</t>
        </is>
      </c>
      <c r="C147" t="n">
        <v>1250</v>
      </c>
      <c r="D147" t="n">
        <v>9</v>
      </c>
      <c r="E147" s="424" t="n">
        <v>717.4</v>
      </c>
    </row>
    <row r="148">
      <c r="A148" t="inlineStr">
        <is>
          <t>S+</t>
        </is>
      </c>
      <c r="B148" t="inlineStr">
        <is>
          <t>rond</t>
        </is>
      </c>
      <c r="C148" t="n">
        <v>1250</v>
      </c>
      <c r="D148" t="n">
        <v>10</v>
      </c>
      <c r="E148" s="424" t="n">
        <v>814.02</v>
      </c>
    </row>
    <row r="149">
      <c r="A149" t="inlineStr">
        <is>
          <t>S+</t>
        </is>
      </c>
      <c r="B149" t="inlineStr">
        <is>
          <t>rond</t>
        </is>
      </c>
      <c r="C149" t="n">
        <v>1250</v>
      </c>
      <c r="D149" t="n">
        <v>11</v>
      </c>
      <c r="E149" s="424" t="n">
        <v>878.58</v>
      </c>
    </row>
    <row r="150">
      <c r="A150" t="inlineStr">
        <is>
          <t>S+</t>
        </is>
      </c>
      <c r="B150" t="inlineStr">
        <is>
          <t>rond</t>
        </is>
      </c>
      <c r="C150" t="n">
        <v>1250</v>
      </c>
      <c r="D150" t="n">
        <v>12</v>
      </c>
      <c r="E150" s="424" t="n">
        <v>991.3</v>
      </c>
    </row>
    <row r="151">
      <c r="A151" t="inlineStr">
        <is>
          <t>S+</t>
        </is>
      </c>
      <c r="B151" t="inlineStr">
        <is>
          <t>rond</t>
        </is>
      </c>
      <c r="C151" t="n">
        <v>1250</v>
      </c>
      <c r="D151" t="n">
        <v>13</v>
      </c>
      <c r="E151" s="424" t="n">
        <v>1017.77</v>
      </c>
    </row>
    <row r="152">
      <c r="A152" t="inlineStr">
        <is>
          <t>S+</t>
        </is>
      </c>
      <c r="B152" t="inlineStr">
        <is>
          <t>rond</t>
        </is>
      </c>
      <c r="C152" t="n">
        <v>1250</v>
      </c>
      <c r="D152" t="n">
        <v>14</v>
      </c>
      <c r="E152" s="424" t="n">
        <v>1119.36</v>
      </c>
    </row>
    <row r="153">
      <c r="A153" t="inlineStr">
        <is>
          <t>S+</t>
        </is>
      </c>
      <c r="B153" t="inlineStr">
        <is>
          <t>rond</t>
        </is>
      </c>
      <c r="C153" t="n">
        <v>1250</v>
      </c>
      <c r="D153" t="n">
        <v>15</v>
      </c>
      <c r="E153" s="424" t="n">
        <v>1184.07</v>
      </c>
    </row>
    <row r="154">
      <c r="A154" t="inlineStr">
        <is>
          <t>S+</t>
        </is>
      </c>
      <c r="B154" t="inlineStr">
        <is>
          <t>rond</t>
        </is>
      </c>
      <c r="C154" t="n">
        <v>1300</v>
      </c>
      <c r="D154" t="n">
        <v>7</v>
      </c>
      <c r="E154" s="424" t="n">
        <v>677.42</v>
      </c>
    </row>
    <row r="155">
      <c r="A155" t="inlineStr">
        <is>
          <t>S+</t>
        </is>
      </c>
      <c r="B155" t="inlineStr">
        <is>
          <t>rond</t>
        </is>
      </c>
      <c r="C155" t="n">
        <v>1300</v>
      </c>
      <c r="D155" t="n">
        <v>8</v>
      </c>
      <c r="E155" s="424" t="n">
        <v>745.97</v>
      </c>
    </row>
    <row r="156">
      <c r="A156" t="inlineStr">
        <is>
          <t>S+</t>
        </is>
      </c>
      <c r="B156" t="inlineStr">
        <is>
          <t>rond</t>
        </is>
      </c>
      <c r="C156" t="n">
        <v>1300</v>
      </c>
      <c r="D156" t="n">
        <v>9</v>
      </c>
      <c r="E156" s="424" t="n">
        <v>819.48</v>
      </c>
    </row>
    <row r="157">
      <c r="A157" t="inlineStr">
        <is>
          <t>S+</t>
        </is>
      </c>
      <c r="B157" t="inlineStr">
        <is>
          <t>rond</t>
        </is>
      </c>
      <c r="C157" t="n">
        <v>1300</v>
      </c>
      <c r="D157" t="n">
        <v>10</v>
      </c>
      <c r="E157" s="424" t="n">
        <v>917.21</v>
      </c>
    </row>
    <row r="158">
      <c r="A158" t="inlineStr">
        <is>
          <t>S+</t>
        </is>
      </c>
      <c r="B158" t="inlineStr">
        <is>
          <t>rond</t>
        </is>
      </c>
      <c r="C158" t="n">
        <v>1300</v>
      </c>
      <c r="D158" t="n">
        <v>11</v>
      </c>
      <c r="E158" s="424" t="n">
        <v>997.04</v>
      </c>
    </row>
    <row r="159">
      <c r="A159" t="inlineStr">
        <is>
          <t>S+</t>
        </is>
      </c>
      <c r="B159" t="inlineStr">
        <is>
          <t>rond</t>
        </is>
      </c>
      <c r="C159" t="n">
        <v>1300</v>
      </c>
      <c r="D159" t="n">
        <v>12</v>
      </c>
      <c r="E159" s="424" t="n">
        <v>1105</v>
      </c>
    </row>
    <row r="160">
      <c r="A160" t="inlineStr">
        <is>
          <t>S+</t>
        </is>
      </c>
      <c r="B160" t="inlineStr">
        <is>
          <t>rond</t>
        </is>
      </c>
      <c r="C160" t="n">
        <v>1300</v>
      </c>
      <c r="D160" t="n">
        <v>13</v>
      </c>
      <c r="E160" s="424" t="n">
        <v>1152.25</v>
      </c>
    </row>
    <row r="161">
      <c r="A161" t="inlineStr">
        <is>
          <t>S+</t>
        </is>
      </c>
      <c r="B161" t="inlineStr">
        <is>
          <t>rond</t>
        </is>
      </c>
      <c r="C161" t="n">
        <v>1300</v>
      </c>
      <c r="D161" t="n">
        <v>14</v>
      </c>
      <c r="E161" s="424" t="n">
        <v>1276.34</v>
      </c>
    </row>
    <row r="162">
      <c r="A162" t="inlineStr">
        <is>
          <t>S+</t>
        </is>
      </c>
      <c r="B162" t="inlineStr">
        <is>
          <t>rond</t>
        </is>
      </c>
      <c r="C162" t="n">
        <v>1300</v>
      </c>
      <c r="D162" t="n">
        <v>15</v>
      </c>
      <c r="E162" s="424" t="n">
        <v>1349.72</v>
      </c>
    </row>
    <row r="163">
      <c r="A163" t="inlineStr">
        <is>
          <t>S+</t>
        </is>
      </c>
      <c r="B163" t="inlineStr">
        <is>
          <t>rond</t>
        </is>
      </c>
      <c r="C163" t="n">
        <v>1350</v>
      </c>
      <c r="D163" t="n">
        <v>7</v>
      </c>
      <c r="E163" s="424" t="n">
        <v>697.26</v>
      </c>
    </row>
    <row r="164">
      <c r="A164" t="inlineStr">
        <is>
          <t>S+</t>
        </is>
      </c>
      <c r="B164" t="inlineStr">
        <is>
          <t>rond</t>
        </is>
      </c>
      <c r="C164" t="n">
        <v>1350</v>
      </c>
      <c r="D164" t="n">
        <v>8</v>
      </c>
      <c r="E164" s="424" t="n">
        <v>765.15</v>
      </c>
    </row>
    <row r="165">
      <c r="A165" t="inlineStr">
        <is>
          <t>S+</t>
        </is>
      </c>
      <c r="B165" t="inlineStr">
        <is>
          <t>rond</t>
        </is>
      </c>
      <c r="C165" t="n">
        <v>1350</v>
      </c>
      <c r="D165" t="n">
        <v>9</v>
      </c>
      <c r="E165" s="424" t="n">
        <v>834.05</v>
      </c>
    </row>
    <row r="166">
      <c r="A166" t="inlineStr">
        <is>
          <t>S+</t>
        </is>
      </c>
      <c r="B166" t="inlineStr">
        <is>
          <t>rond</t>
        </is>
      </c>
      <c r="C166" t="n">
        <v>1350</v>
      </c>
      <c r="D166" t="n">
        <v>10</v>
      </c>
      <c r="E166" s="424" t="n">
        <v>945.8200000000001</v>
      </c>
    </row>
    <row r="167">
      <c r="A167" t="inlineStr">
        <is>
          <t>S+</t>
        </is>
      </c>
      <c r="B167" t="inlineStr">
        <is>
          <t>rond</t>
        </is>
      </c>
      <c r="C167" t="n">
        <v>1350</v>
      </c>
      <c r="D167" t="n">
        <v>11</v>
      </c>
      <c r="E167" s="424" t="n">
        <v>1030.79</v>
      </c>
    </row>
    <row r="168">
      <c r="A168" t="inlineStr">
        <is>
          <t>S+</t>
        </is>
      </c>
      <c r="B168" t="inlineStr">
        <is>
          <t>rond</t>
        </is>
      </c>
      <c r="C168" t="n">
        <v>1350</v>
      </c>
      <c r="D168" t="n">
        <v>12</v>
      </c>
      <c r="E168" s="424" t="n">
        <v>1115.73</v>
      </c>
    </row>
    <row r="169">
      <c r="A169" t="inlineStr">
        <is>
          <t>S+</t>
        </is>
      </c>
      <c r="B169" t="inlineStr">
        <is>
          <t>rond</t>
        </is>
      </c>
      <c r="C169" t="n">
        <v>1350</v>
      </c>
      <c r="D169" t="n">
        <v>13</v>
      </c>
      <c r="E169" s="424" t="n">
        <v>1186.26</v>
      </c>
    </row>
    <row r="170">
      <c r="A170" t="inlineStr">
        <is>
          <t>S+</t>
        </is>
      </c>
      <c r="B170" t="inlineStr">
        <is>
          <t>rond</t>
        </is>
      </c>
      <c r="C170" t="n">
        <v>1350</v>
      </c>
      <c r="D170" t="n">
        <v>14</v>
      </c>
      <c r="E170" s="424" t="n">
        <v>1322.86</v>
      </c>
    </row>
    <row r="171">
      <c r="A171" t="inlineStr">
        <is>
          <t>S+</t>
        </is>
      </c>
      <c r="B171" t="inlineStr">
        <is>
          <t>rond</t>
        </is>
      </c>
      <c r="C171" t="n">
        <v>1350</v>
      </c>
      <c r="D171" t="n">
        <v>15</v>
      </c>
      <c r="E171" s="424" t="n">
        <v>1398.49</v>
      </c>
    </row>
    <row r="172">
      <c r="A172" t="inlineStr">
        <is>
          <t>S+</t>
        </is>
      </c>
      <c r="B172" t="inlineStr">
        <is>
          <t>rond</t>
        </is>
      </c>
      <c r="C172" t="n">
        <v>1400</v>
      </c>
      <c r="D172" t="n">
        <v>7</v>
      </c>
      <c r="E172" s="424" t="n">
        <v>762.71</v>
      </c>
    </row>
    <row r="173">
      <c r="A173" t="inlineStr">
        <is>
          <t>S+</t>
        </is>
      </c>
      <c r="B173" t="inlineStr">
        <is>
          <t>rond</t>
        </is>
      </c>
      <c r="C173" t="n">
        <v>1400</v>
      </c>
      <c r="D173" t="n">
        <v>8</v>
      </c>
      <c r="E173" s="424" t="n">
        <v>806.5599999999999</v>
      </c>
    </row>
    <row r="174">
      <c r="A174" t="inlineStr">
        <is>
          <t>S+</t>
        </is>
      </c>
      <c r="B174" t="inlineStr">
        <is>
          <t>rond</t>
        </is>
      </c>
      <c r="C174" t="n">
        <v>1400</v>
      </c>
      <c r="D174" t="n">
        <v>9</v>
      </c>
      <c r="E174" s="424" t="n">
        <v>919.76</v>
      </c>
    </row>
    <row r="175">
      <c r="A175" t="inlineStr">
        <is>
          <t>S+</t>
        </is>
      </c>
      <c r="B175" t="inlineStr">
        <is>
          <t>rond</t>
        </is>
      </c>
      <c r="C175" t="n">
        <v>1400</v>
      </c>
      <c r="D175" t="n">
        <v>10</v>
      </c>
      <c r="E175" s="424" t="n">
        <v>1027.33</v>
      </c>
    </row>
    <row r="176">
      <c r="A176" t="inlineStr">
        <is>
          <t>S+</t>
        </is>
      </c>
      <c r="B176" t="inlineStr">
        <is>
          <t>rond</t>
        </is>
      </c>
      <c r="C176" t="n">
        <v>1400</v>
      </c>
      <c r="D176" t="n">
        <v>11</v>
      </c>
      <c r="E176" s="424" t="n">
        <v>1058.94</v>
      </c>
    </row>
    <row r="177">
      <c r="A177" t="inlineStr">
        <is>
          <t>S+</t>
        </is>
      </c>
      <c r="B177" t="inlineStr">
        <is>
          <t>rond</t>
        </is>
      </c>
      <c r="C177" t="n">
        <v>1400</v>
      </c>
      <c r="D177" t="n">
        <v>12</v>
      </c>
      <c r="E177" s="424" t="n">
        <v>1208.21</v>
      </c>
    </row>
    <row r="178">
      <c r="A178" t="inlineStr">
        <is>
          <t>S+</t>
        </is>
      </c>
      <c r="B178" t="inlineStr">
        <is>
          <t>rond</t>
        </is>
      </c>
      <c r="C178" t="n">
        <v>1400</v>
      </c>
      <c r="D178" t="n">
        <v>13</v>
      </c>
      <c r="E178" s="424" t="n">
        <v>1308.73</v>
      </c>
    </row>
    <row r="179">
      <c r="A179" t="inlineStr">
        <is>
          <t>S+</t>
        </is>
      </c>
      <c r="B179" t="inlineStr">
        <is>
          <t>rond</t>
        </is>
      </c>
      <c r="C179" t="n">
        <v>1400</v>
      </c>
      <c r="D179" t="n">
        <v>14</v>
      </c>
      <c r="E179" s="424" t="n">
        <v>1409.25</v>
      </c>
    </row>
    <row r="180">
      <c r="A180" t="inlineStr">
        <is>
          <t>S+</t>
        </is>
      </c>
      <c r="B180" t="inlineStr">
        <is>
          <t>rond</t>
        </is>
      </c>
      <c r="C180" t="n">
        <v>1400</v>
      </c>
      <c r="D180" t="n">
        <v>15</v>
      </c>
      <c r="E180" s="424" t="n">
        <v>1492.24</v>
      </c>
    </row>
    <row r="181">
      <c r="A181" t="inlineStr">
        <is>
          <t>S+</t>
        </is>
      </c>
      <c r="B181" t="inlineStr">
        <is>
          <t>rond</t>
        </is>
      </c>
      <c r="C181" t="n">
        <v>1450</v>
      </c>
      <c r="D181" t="n">
        <v>8</v>
      </c>
      <c r="E181" s="424" t="n">
        <v>811.3200000000001</v>
      </c>
    </row>
    <row r="182">
      <c r="A182" t="inlineStr">
        <is>
          <t>S+</t>
        </is>
      </c>
      <c r="B182" t="inlineStr">
        <is>
          <t>rond</t>
        </is>
      </c>
      <c r="C182" t="n">
        <v>1450</v>
      </c>
      <c r="D182" t="n">
        <v>9</v>
      </c>
      <c r="E182" s="424" t="n">
        <v>923.45</v>
      </c>
    </row>
    <row r="183">
      <c r="A183" t="inlineStr">
        <is>
          <t>S+</t>
        </is>
      </c>
      <c r="B183" t="inlineStr">
        <is>
          <t>rond</t>
        </is>
      </c>
      <c r="C183" t="n">
        <v>1450</v>
      </c>
      <c r="D183" t="n">
        <v>10</v>
      </c>
      <c r="E183" s="424" t="n">
        <v>1029.83</v>
      </c>
    </row>
    <row r="184">
      <c r="A184" t="inlineStr">
        <is>
          <t>S+</t>
        </is>
      </c>
      <c r="B184" t="inlineStr">
        <is>
          <t>rond</t>
        </is>
      </c>
      <c r="C184" t="n">
        <v>1450</v>
      </c>
      <c r="D184" t="n">
        <v>11</v>
      </c>
      <c r="E184" s="424" t="n">
        <v>1090.85</v>
      </c>
    </row>
    <row r="185">
      <c r="A185" t="inlineStr">
        <is>
          <t>S+</t>
        </is>
      </c>
      <c r="B185" t="inlineStr">
        <is>
          <t>rond</t>
        </is>
      </c>
      <c r="C185" t="n">
        <v>1450</v>
      </c>
      <c r="D185" t="n">
        <v>12</v>
      </c>
      <c r="E185" s="424" t="n">
        <v>1238.86</v>
      </c>
    </row>
    <row r="186">
      <c r="A186" t="inlineStr">
        <is>
          <t>S+</t>
        </is>
      </c>
      <c r="B186" t="inlineStr">
        <is>
          <t>rond</t>
        </is>
      </c>
      <c r="C186" t="n">
        <v>1450</v>
      </c>
      <c r="D186" t="n">
        <v>13</v>
      </c>
      <c r="E186" s="424" t="n">
        <v>1339.24</v>
      </c>
    </row>
    <row r="187">
      <c r="A187" t="inlineStr">
        <is>
          <t>S+</t>
        </is>
      </c>
      <c r="B187" t="inlineStr">
        <is>
          <t>rond</t>
        </is>
      </c>
      <c r="C187" t="n">
        <v>1450</v>
      </c>
      <c r="D187" t="n">
        <v>14</v>
      </c>
      <c r="E187" s="424" t="n">
        <v>1434.11</v>
      </c>
    </row>
    <row r="188">
      <c r="A188" t="inlineStr">
        <is>
          <t>S+</t>
        </is>
      </c>
      <c r="B188" t="inlineStr">
        <is>
          <t>rond</t>
        </is>
      </c>
      <c r="C188" t="n">
        <v>1450</v>
      </c>
      <c r="D188" t="n">
        <v>15</v>
      </c>
      <c r="E188" s="424" t="n">
        <v>1528.94</v>
      </c>
    </row>
    <row r="189">
      <c r="A189" t="inlineStr">
        <is>
          <t>S+</t>
        </is>
      </c>
      <c r="B189" t="inlineStr">
        <is>
          <t>rond</t>
        </is>
      </c>
      <c r="C189" t="n">
        <v>1500</v>
      </c>
      <c r="D189" t="n">
        <v>8</v>
      </c>
      <c r="E189" s="424" t="n">
        <v>887.74</v>
      </c>
    </row>
    <row r="190">
      <c r="A190" t="inlineStr">
        <is>
          <t>S+</t>
        </is>
      </c>
      <c r="B190" t="inlineStr">
        <is>
          <t>rond</t>
        </is>
      </c>
      <c r="C190" t="n">
        <v>1500</v>
      </c>
      <c r="D190" t="n">
        <v>9</v>
      </c>
      <c r="E190" s="424" t="n">
        <v>985.42</v>
      </c>
    </row>
    <row r="191">
      <c r="A191" t="inlineStr">
        <is>
          <t>S+</t>
        </is>
      </c>
      <c r="B191" t="inlineStr">
        <is>
          <t>rond</t>
        </is>
      </c>
      <c r="C191" t="n">
        <v>1500</v>
      </c>
      <c r="D191" t="n">
        <v>10</v>
      </c>
      <c r="E191" s="424" t="n">
        <v>1097.21</v>
      </c>
    </row>
    <row r="192">
      <c r="A192" t="inlineStr">
        <is>
          <t>S+</t>
        </is>
      </c>
      <c r="B192" t="inlineStr">
        <is>
          <t>rond</t>
        </is>
      </c>
      <c r="C192" t="n">
        <v>1500</v>
      </c>
      <c r="D192" t="n">
        <v>11</v>
      </c>
      <c r="E192" s="424" t="n">
        <v>1193.3</v>
      </c>
    </row>
    <row r="193">
      <c r="A193" t="inlineStr">
        <is>
          <t>S+</t>
        </is>
      </c>
      <c r="B193" t="inlineStr">
        <is>
          <t>rond</t>
        </is>
      </c>
      <c r="C193" t="n">
        <v>1500</v>
      </c>
      <c r="D193" t="n">
        <v>12</v>
      </c>
      <c r="E193" s="424" t="n">
        <v>1349.3</v>
      </c>
    </row>
    <row r="194">
      <c r="A194" t="inlineStr">
        <is>
          <t>S+</t>
        </is>
      </c>
      <c r="B194" t="inlineStr">
        <is>
          <t>rond</t>
        </is>
      </c>
      <c r="C194" t="n">
        <v>1500</v>
      </c>
      <c r="D194" t="n">
        <v>13</v>
      </c>
      <c r="E194" s="424" t="n">
        <v>1455.85</v>
      </c>
    </row>
    <row r="195">
      <c r="A195" t="inlineStr">
        <is>
          <t>S+</t>
        </is>
      </c>
      <c r="B195" t="inlineStr">
        <is>
          <t>rond</t>
        </is>
      </c>
      <c r="C195" t="n">
        <v>1500</v>
      </c>
      <c r="D195" t="n">
        <v>14</v>
      </c>
      <c r="E195" s="424" t="n">
        <v>1564.18</v>
      </c>
    </row>
    <row r="196">
      <c r="A196" t="inlineStr">
        <is>
          <t>S+</t>
        </is>
      </c>
      <c r="B196" t="inlineStr">
        <is>
          <t>rond</t>
        </is>
      </c>
      <c r="C196" t="n">
        <v>1500</v>
      </c>
      <c r="D196" t="n">
        <v>15</v>
      </c>
      <c r="E196" s="424" t="n">
        <v>1672.47</v>
      </c>
    </row>
    <row r="197">
      <c r="A197" t="inlineStr">
        <is>
          <t>S+</t>
        </is>
      </c>
      <c r="B197" t="inlineStr">
        <is>
          <t>rond</t>
        </is>
      </c>
      <c r="C197" t="n">
        <v>1550</v>
      </c>
      <c r="D197" t="n">
        <v>9</v>
      </c>
      <c r="E197" s="424" t="n">
        <v>1007.92</v>
      </c>
    </row>
    <row r="198">
      <c r="A198" t="inlineStr">
        <is>
          <t>S+</t>
        </is>
      </c>
      <c r="B198" t="inlineStr">
        <is>
          <t>rond</t>
        </is>
      </c>
      <c r="C198" t="n">
        <v>1550</v>
      </c>
      <c r="D198" t="n">
        <v>10</v>
      </c>
      <c r="E198" s="424" t="n">
        <v>1128.05</v>
      </c>
    </row>
    <row r="199">
      <c r="A199" t="inlineStr">
        <is>
          <t>S+</t>
        </is>
      </c>
      <c r="B199" t="inlineStr">
        <is>
          <t>rond</t>
        </is>
      </c>
      <c r="C199" t="n">
        <v>1550</v>
      </c>
      <c r="D199" t="n">
        <v>11</v>
      </c>
      <c r="E199" s="424" t="n">
        <v>1225.8</v>
      </c>
    </row>
    <row r="200">
      <c r="A200" t="inlineStr">
        <is>
          <t>S+</t>
        </is>
      </c>
      <c r="B200" t="inlineStr">
        <is>
          <t>rond</t>
        </is>
      </c>
      <c r="C200" t="n">
        <v>1550</v>
      </c>
      <c r="D200" t="n">
        <v>12</v>
      </c>
      <c r="E200" s="424" t="n">
        <v>1390.39</v>
      </c>
    </row>
    <row r="201">
      <c r="A201" t="inlineStr">
        <is>
          <t>S+</t>
        </is>
      </c>
      <c r="B201" t="inlineStr">
        <is>
          <t>rond</t>
        </is>
      </c>
      <c r="C201" t="n">
        <v>1550</v>
      </c>
      <c r="D201" t="n">
        <v>13</v>
      </c>
      <c r="E201" s="424" t="n">
        <v>1488.28</v>
      </c>
    </row>
    <row r="202">
      <c r="A202" t="inlineStr">
        <is>
          <t>S+</t>
        </is>
      </c>
      <c r="B202" t="inlineStr">
        <is>
          <t>rond</t>
        </is>
      </c>
      <c r="C202" t="n">
        <v>1550</v>
      </c>
      <c r="D202" t="n">
        <v>14</v>
      </c>
      <c r="E202" s="424" t="n">
        <v>1585.5</v>
      </c>
    </row>
    <row r="203">
      <c r="A203" t="inlineStr">
        <is>
          <t>S+</t>
        </is>
      </c>
      <c r="B203" t="inlineStr">
        <is>
          <t>rond</t>
        </is>
      </c>
      <c r="C203" t="n">
        <v>1550</v>
      </c>
      <c r="D203" t="n">
        <v>15</v>
      </c>
      <c r="E203" s="424" t="n">
        <v>1682.72</v>
      </c>
    </row>
    <row r="204">
      <c r="A204" t="inlineStr">
        <is>
          <t>S+</t>
        </is>
      </c>
      <c r="B204" t="inlineStr">
        <is>
          <t>rond</t>
        </is>
      </c>
      <c r="C204" t="n">
        <v>1600</v>
      </c>
      <c r="D204" t="n">
        <v>9</v>
      </c>
      <c r="E204" s="424" t="n">
        <v>1065.72</v>
      </c>
    </row>
    <row r="205">
      <c r="A205" t="inlineStr">
        <is>
          <t>S+</t>
        </is>
      </c>
      <c r="B205" t="inlineStr">
        <is>
          <t>rond</t>
        </is>
      </c>
      <c r="C205" t="n">
        <v>1600</v>
      </c>
      <c r="D205" t="n">
        <v>10</v>
      </c>
      <c r="E205" s="424" t="n">
        <v>1183.78</v>
      </c>
    </row>
    <row r="206">
      <c r="A206" t="inlineStr">
        <is>
          <t>S+</t>
        </is>
      </c>
      <c r="B206" t="inlineStr">
        <is>
          <t>rond</t>
        </is>
      </c>
      <c r="C206" t="n">
        <v>1600</v>
      </c>
      <c r="D206" t="n">
        <v>11</v>
      </c>
      <c r="E206" s="424" t="n">
        <v>1285.36</v>
      </c>
    </row>
    <row r="207">
      <c r="A207" t="inlineStr">
        <is>
          <t>S+</t>
        </is>
      </c>
      <c r="B207" t="inlineStr">
        <is>
          <t>rond</t>
        </is>
      </c>
      <c r="C207" t="n">
        <v>1600</v>
      </c>
      <c r="D207" t="n">
        <v>12</v>
      </c>
      <c r="E207" s="424" t="n">
        <v>1455.77</v>
      </c>
    </row>
    <row r="208">
      <c r="A208" t="inlineStr">
        <is>
          <t>S+</t>
        </is>
      </c>
      <c r="B208" t="inlineStr">
        <is>
          <t>rond</t>
        </is>
      </c>
      <c r="C208" t="n">
        <v>1600</v>
      </c>
      <c r="D208" t="n">
        <v>13</v>
      </c>
      <c r="E208" s="424" t="n">
        <v>1553.38</v>
      </c>
    </row>
    <row r="209">
      <c r="A209" t="inlineStr">
        <is>
          <t>S+</t>
        </is>
      </c>
      <c r="B209" t="inlineStr">
        <is>
          <t>rond</t>
        </is>
      </c>
      <c r="C209" t="n">
        <v>1600</v>
      </c>
      <c r="D209" t="n">
        <v>14</v>
      </c>
      <c r="E209" s="424" t="n">
        <v>1647.35</v>
      </c>
    </row>
    <row r="210">
      <c r="A210" t="inlineStr">
        <is>
          <t>S+</t>
        </is>
      </c>
      <c r="B210" t="inlineStr">
        <is>
          <t>rond</t>
        </is>
      </c>
      <c r="C210" t="n">
        <v>1600</v>
      </c>
      <c r="D210" t="n">
        <v>15</v>
      </c>
      <c r="E210" s="424" t="n">
        <v>1734.05</v>
      </c>
    </row>
    <row r="211">
      <c r="A211" t="inlineStr">
        <is>
          <t>S+</t>
        </is>
      </c>
      <c r="B211" t="inlineStr">
        <is>
          <t>ei</t>
        </is>
      </c>
      <c r="C211" t="inlineStr">
        <is>
          <t>200/300</t>
        </is>
      </c>
      <c r="D211" t="n">
        <v>3</v>
      </c>
      <c r="E211" s="424" t="n">
        <v>81.5</v>
      </c>
    </row>
    <row r="212">
      <c r="A212" t="inlineStr">
        <is>
          <t>S+</t>
        </is>
      </c>
      <c r="B212" t="inlineStr">
        <is>
          <t>ei</t>
        </is>
      </c>
      <c r="C212" t="inlineStr">
        <is>
          <t>200/300</t>
        </is>
      </c>
      <c r="D212" t="n">
        <v>4</v>
      </c>
      <c r="E212" s="424" t="n">
        <v>85.70999999999999</v>
      </c>
    </row>
    <row r="213">
      <c r="A213" t="inlineStr">
        <is>
          <t>S+</t>
        </is>
      </c>
      <c r="B213" t="inlineStr">
        <is>
          <t>ei</t>
        </is>
      </c>
      <c r="C213" t="inlineStr">
        <is>
          <t>200/300</t>
        </is>
      </c>
      <c r="D213" t="n">
        <v>5</v>
      </c>
      <c r="E213" s="424" t="n">
        <v>94.61</v>
      </c>
    </row>
    <row r="214">
      <c r="A214" t="inlineStr">
        <is>
          <t>S+</t>
        </is>
      </c>
      <c r="B214" t="inlineStr">
        <is>
          <t>ei</t>
        </is>
      </c>
      <c r="C214" t="inlineStr">
        <is>
          <t>200/300</t>
        </is>
      </c>
      <c r="D214" t="n">
        <v>6</v>
      </c>
      <c r="E214" s="424" t="n">
        <v>115.33</v>
      </c>
    </row>
    <row r="215">
      <c r="A215" t="inlineStr">
        <is>
          <t>S+</t>
        </is>
      </c>
      <c r="B215" t="inlineStr">
        <is>
          <t>ei</t>
        </is>
      </c>
      <c r="C215" t="inlineStr">
        <is>
          <t>250/375</t>
        </is>
      </c>
      <c r="D215" t="n">
        <v>3</v>
      </c>
      <c r="E215" s="424" t="n">
        <v>95.3</v>
      </c>
    </row>
    <row r="216">
      <c r="A216" t="inlineStr">
        <is>
          <t>S+</t>
        </is>
      </c>
      <c r="B216" t="inlineStr">
        <is>
          <t>ei</t>
        </is>
      </c>
      <c r="C216" t="inlineStr">
        <is>
          <t>250/375</t>
        </is>
      </c>
      <c r="D216" t="n">
        <v>4</v>
      </c>
      <c r="E216" s="424" t="n">
        <v>103.15</v>
      </c>
    </row>
    <row r="217">
      <c r="A217" t="inlineStr">
        <is>
          <t>S+</t>
        </is>
      </c>
      <c r="B217" t="inlineStr">
        <is>
          <t>ei</t>
        </is>
      </c>
      <c r="C217" t="inlineStr">
        <is>
          <t>250/375</t>
        </is>
      </c>
      <c r="D217" t="n">
        <v>5</v>
      </c>
      <c r="E217" s="424" t="n">
        <v>114.33</v>
      </c>
    </row>
    <row r="218">
      <c r="A218" t="inlineStr">
        <is>
          <t>S+</t>
        </is>
      </c>
      <c r="B218" t="inlineStr">
        <is>
          <t>ei</t>
        </is>
      </c>
      <c r="C218" t="inlineStr">
        <is>
          <t>250/375</t>
        </is>
      </c>
      <c r="D218" t="n">
        <v>6</v>
      </c>
      <c r="E218" s="424" t="n">
        <v>141.32</v>
      </c>
    </row>
    <row r="219">
      <c r="A219" t="inlineStr">
        <is>
          <t>S+</t>
        </is>
      </c>
      <c r="B219" t="inlineStr">
        <is>
          <t>ei</t>
        </is>
      </c>
      <c r="C219" t="inlineStr">
        <is>
          <t>300/450</t>
        </is>
      </c>
      <c r="D219" t="n">
        <v>3</v>
      </c>
      <c r="E219" s="424" t="n">
        <v>110.78</v>
      </c>
    </row>
    <row r="220">
      <c r="A220" t="inlineStr">
        <is>
          <t>S+</t>
        </is>
      </c>
      <c r="B220" t="inlineStr">
        <is>
          <t>ei</t>
        </is>
      </c>
      <c r="C220" t="inlineStr">
        <is>
          <t>300/450</t>
        </is>
      </c>
      <c r="D220" t="n">
        <v>4</v>
      </c>
      <c r="E220" s="424" t="n">
        <v>121.75</v>
      </c>
    </row>
    <row r="221">
      <c r="A221" t="inlineStr">
        <is>
          <t>S+</t>
        </is>
      </c>
      <c r="B221" t="inlineStr">
        <is>
          <t>ei</t>
        </is>
      </c>
      <c r="C221" t="inlineStr">
        <is>
          <t>300/450</t>
        </is>
      </c>
      <c r="D221" t="n">
        <v>5</v>
      </c>
      <c r="E221" s="424" t="n">
        <v>134.35</v>
      </c>
    </row>
    <row r="222">
      <c r="A222" t="inlineStr">
        <is>
          <t>S+</t>
        </is>
      </c>
      <c r="B222" t="inlineStr">
        <is>
          <t>ei</t>
        </is>
      </c>
      <c r="C222" t="inlineStr">
        <is>
          <t>300/450</t>
        </is>
      </c>
      <c r="D222" t="n">
        <v>6</v>
      </c>
      <c r="E222" s="424" t="n">
        <v>162.91</v>
      </c>
    </row>
    <row r="223">
      <c r="A223" t="inlineStr">
        <is>
          <t>S+</t>
        </is>
      </c>
      <c r="B223" t="inlineStr">
        <is>
          <t>ei</t>
        </is>
      </c>
      <c r="C223" t="inlineStr">
        <is>
          <t>350/525</t>
        </is>
      </c>
      <c r="D223" t="n">
        <v>4</v>
      </c>
      <c r="E223" s="424" t="n">
        <v>133.19</v>
      </c>
    </row>
    <row r="224">
      <c r="A224" t="inlineStr">
        <is>
          <t>S+</t>
        </is>
      </c>
      <c r="B224" t="inlineStr">
        <is>
          <t>ei</t>
        </is>
      </c>
      <c r="C224" t="inlineStr">
        <is>
          <t>350/525</t>
        </is>
      </c>
      <c r="D224" t="n">
        <v>5</v>
      </c>
      <c r="E224" s="424" t="n">
        <v>153.18</v>
      </c>
    </row>
    <row r="225">
      <c r="A225" t="inlineStr">
        <is>
          <t>S+</t>
        </is>
      </c>
      <c r="B225" t="inlineStr">
        <is>
          <t>ei</t>
        </is>
      </c>
      <c r="C225" t="inlineStr">
        <is>
          <t>350/525</t>
        </is>
      </c>
      <c r="D225" t="n">
        <v>6</v>
      </c>
      <c r="E225" s="424" t="n">
        <v>182.84</v>
      </c>
    </row>
    <row r="226">
      <c r="A226" t="inlineStr">
        <is>
          <t>S+</t>
        </is>
      </c>
      <c r="B226" t="inlineStr">
        <is>
          <t>ei</t>
        </is>
      </c>
      <c r="C226" t="inlineStr">
        <is>
          <t>350/525</t>
        </is>
      </c>
      <c r="D226" t="n">
        <v>7</v>
      </c>
      <c r="E226" s="424" t="n">
        <v>232.83</v>
      </c>
    </row>
    <row r="227">
      <c r="A227" t="inlineStr">
        <is>
          <t>S+</t>
        </is>
      </c>
      <c r="B227" t="inlineStr">
        <is>
          <t>ei</t>
        </is>
      </c>
      <c r="C227" t="inlineStr">
        <is>
          <t>400/600</t>
        </is>
      </c>
      <c r="D227" t="n">
        <v>4</v>
      </c>
      <c r="E227" s="424" t="n">
        <v>154.73</v>
      </c>
    </row>
    <row r="228">
      <c r="A228" t="inlineStr">
        <is>
          <t>S+</t>
        </is>
      </c>
      <c r="B228" t="inlineStr">
        <is>
          <t>ei</t>
        </is>
      </c>
      <c r="C228" t="inlineStr">
        <is>
          <t>400/600</t>
        </is>
      </c>
      <c r="D228" t="n">
        <v>5</v>
      </c>
      <c r="E228" s="424" t="n">
        <v>171.25</v>
      </c>
    </row>
    <row r="229">
      <c r="A229" t="inlineStr">
        <is>
          <t>S+</t>
        </is>
      </c>
      <c r="B229" t="inlineStr">
        <is>
          <t>ei</t>
        </is>
      </c>
      <c r="C229" t="inlineStr">
        <is>
          <t>400/600</t>
        </is>
      </c>
      <c r="D229" t="n">
        <v>6</v>
      </c>
      <c r="E229" s="424" t="n">
        <v>206.95</v>
      </c>
    </row>
    <row r="230">
      <c r="A230" t="inlineStr">
        <is>
          <t>S+</t>
        </is>
      </c>
      <c r="B230" t="inlineStr">
        <is>
          <t>ei</t>
        </is>
      </c>
      <c r="C230" t="inlineStr">
        <is>
          <t>400/600</t>
        </is>
      </c>
      <c r="D230" t="n">
        <v>7</v>
      </c>
      <c r="E230" s="424" t="n">
        <v>257.34</v>
      </c>
    </row>
    <row r="231">
      <c r="A231" t="inlineStr">
        <is>
          <t>S+</t>
        </is>
      </c>
      <c r="B231" t="inlineStr">
        <is>
          <t>ei</t>
        </is>
      </c>
      <c r="C231" t="inlineStr">
        <is>
          <t>500/750</t>
        </is>
      </c>
      <c r="D231" t="n">
        <v>5</v>
      </c>
      <c r="E231" s="424" t="n">
        <v>202.31</v>
      </c>
    </row>
    <row r="232">
      <c r="A232" t="inlineStr">
        <is>
          <t>S+</t>
        </is>
      </c>
      <c r="B232" t="inlineStr">
        <is>
          <t>ei</t>
        </is>
      </c>
      <c r="C232" t="inlineStr">
        <is>
          <t>500/750</t>
        </is>
      </c>
      <c r="D232" t="n">
        <v>6</v>
      </c>
      <c r="E232" s="424" t="n">
        <v>243.01</v>
      </c>
    </row>
    <row r="233">
      <c r="A233" t="inlineStr">
        <is>
          <t>S+</t>
        </is>
      </c>
      <c r="B233" t="inlineStr">
        <is>
          <t>ei</t>
        </is>
      </c>
      <c r="C233" t="inlineStr">
        <is>
          <t>500/750</t>
        </is>
      </c>
      <c r="D233" t="n">
        <v>7</v>
      </c>
      <c r="E233" s="424" t="n">
        <v>305.5</v>
      </c>
    </row>
    <row r="234">
      <c r="A234" t="inlineStr">
        <is>
          <t>S+</t>
        </is>
      </c>
      <c r="B234" t="inlineStr">
        <is>
          <t>ei</t>
        </is>
      </c>
      <c r="C234" t="inlineStr">
        <is>
          <t>500/750</t>
        </is>
      </c>
      <c r="D234" t="n">
        <v>8</v>
      </c>
      <c r="E234" s="424" t="n">
        <v>337.51</v>
      </c>
    </row>
    <row r="235">
      <c r="A235" t="inlineStr">
        <is>
          <t>S+</t>
        </is>
      </c>
      <c r="B235" t="inlineStr">
        <is>
          <t>ei</t>
        </is>
      </c>
      <c r="C235" t="inlineStr">
        <is>
          <t>500/750</t>
        </is>
      </c>
      <c r="D235" t="n">
        <v>9</v>
      </c>
      <c r="E235" s="424" t="n">
        <v>369.51</v>
      </c>
    </row>
    <row r="236">
      <c r="A236" t="inlineStr">
        <is>
          <t>S+</t>
        </is>
      </c>
      <c r="B236" t="inlineStr">
        <is>
          <t>ei</t>
        </is>
      </c>
      <c r="C236" t="inlineStr">
        <is>
          <t>600/900</t>
        </is>
      </c>
      <c r="D236" t="n">
        <v>6</v>
      </c>
      <c r="E236" s="424" t="n">
        <v>295.24</v>
      </c>
    </row>
    <row r="237">
      <c r="A237" t="inlineStr">
        <is>
          <t>S+</t>
        </is>
      </c>
      <c r="B237" t="inlineStr">
        <is>
          <t>ei</t>
        </is>
      </c>
      <c r="C237" t="inlineStr">
        <is>
          <t>600/900</t>
        </is>
      </c>
      <c r="D237" t="n">
        <v>7</v>
      </c>
      <c r="E237" s="424" t="n">
        <v>369.57</v>
      </c>
    </row>
    <row r="238">
      <c r="A238" t="inlineStr">
        <is>
          <t>S+</t>
        </is>
      </c>
      <c r="B238" t="inlineStr">
        <is>
          <t>ei</t>
        </is>
      </c>
      <c r="C238" t="inlineStr">
        <is>
          <t>600/900</t>
        </is>
      </c>
      <c r="D238" t="n">
        <v>8</v>
      </c>
      <c r="E238" s="424" t="n">
        <v>405.85</v>
      </c>
    </row>
    <row r="239">
      <c r="A239" t="inlineStr">
        <is>
          <t>S+</t>
        </is>
      </c>
      <c r="B239" t="inlineStr">
        <is>
          <t>ei</t>
        </is>
      </c>
      <c r="C239" t="inlineStr">
        <is>
          <t>600/900</t>
        </is>
      </c>
      <c r="D239" t="n">
        <v>9</v>
      </c>
      <c r="E239" s="424" t="n">
        <v>445.26</v>
      </c>
    </row>
    <row r="240">
      <c r="A240" t="inlineStr">
        <is>
          <t>S+</t>
        </is>
      </c>
      <c r="B240" t="inlineStr">
        <is>
          <t>ei</t>
        </is>
      </c>
      <c r="C240" t="inlineStr">
        <is>
          <t>700/1050</t>
        </is>
      </c>
      <c r="D240" t="n">
        <v>6</v>
      </c>
      <c r="E240" s="424" t="n">
        <v>349.26</v>
      </c>
    </row>
    <row r="241">
      <c r="A241" t="inlineStr">
        <is>
          <t>S+</t>
        </is>
      </c>
      <c r="B241" t="inlineStr">
        <is>
          <t>ei</t>
        </is>
      </c>
      <c r="C241" t="inlineStr">
        <is>
          <t>700/1050</t>
        </is>
      </c>
      <c r="D241" t="n">
        <v>7</v>
      </c>
      <c r="E241" s="424" t="n">
        <v>431.16</v>
      </c>
    </row>
    <row r="242">
      <c r="A242" t="inlineStr">
        <is>
          <t>S+</t>
        </is>
      </c>
      <c r="B242" t="inlineStr">
        <is>
          <t>ei</t>
        </is>
      </c>
      <c r="C242" t="inlineStr">
        <is>
          <t>700/1050</t>
        </is>
      </c>
      <c r="D242" t="n">
        <v>8</v>
      </c>
      <c r="E242" s="424" t="n">
        <v>475.26</v>
      </c>
    </row>
    <row r="243">
      <c r="A243" t="inlineStr">
        <is>
          <t>S+</t>
        </is>
      </c>
      <c r="B243" t="inlineStr">
        <is>
          <t>ei</t>
        </is>
      </c>
      <c r="C243" t="inlineStr">
        <is>
          <t>700/1050</t>
        </is>
      </c>
      <c r="D243" t="n">
        <v>9</v>
      </c>
      <c r="E243" s="424" t="n">
        <v>521.74</v>
      </c>
    </row>
    <row r="244">
      <c r="A244" t="inlineStr">
        <is>
          <t>S+</t>
        </is>
      </c>
      <c r="B244" t="inlineStr">
        <is>
          <t>ei</t>
        </is>
      </c>
      <c r="C244" t="inlineStr">
        <is>
          <t>700/1050</t>
        </is>
      </c>
      <c r="D244" t="n">
        <v>10</v>
      </c>
      <c r="E244" s="424" t="n">
        <v>594.95</v>
      </c>
    </row>
    <row r="245">
      <c r="A245" t="inlineStr">
        <is>
          <t>S+</t>
        </is>
      </c>
      <c r="B245" t="inlineStr">
        <is>
          <t>ei</t>
        </is>
      </c>
      <c r="C245" t="inlineStr">
        <is>
          <t>800/1200</t>
        </is>
      </c>
      <c r="D245" t="n">
        <v>8</v>
      </c>
      <c r="E245" s="424" t="n">
        <v>532.63</v>
      </c>
    </row>
    <row r="246">
      <c r="A246" t="inlineStr">
        <is>
          <t>S+</t>
        </is>
      </c>
      <c r="B246" t="inlineStr">
        <is>
          <t>ei</t>
        </is>
      </c>
      <c r="C246" t="inlineStr">
        <is>
          <t>800/1200</t>
        </is>
      </c>
      <c r="D246" t="n">
        <v>9</v>
      </c>
      <c r="E246" s="424" t="n">
        <v>581.14</v>
      </c>
    </row>
    <row r="247">
      <c r="A247" t="inlineStr">
        <is>
          <t>S+</t>
        </is>
      </c>
      <c r="B247" t="inlineStr">
        <is>
          <t>ei</t>
        </is>
      </c>
      <c r="C247" t="inlineStr">
        <is>
          <t>800/1200</t>
        </is>
      </c>
      <c r="D247" t="n">
        <v>10</v>
      </c>
      <c r="E247" s="424" t="n">
        <v>657</v>
      </c>
    </row>
    <row r="248">
      <c r="A248" t="inlineStr">
        <is>
          <t>S+</t>
        </is>
      </c>
      <c r="B248" t="inlineStr">
        <is>
          <t>ei</t>
        </is>
      </c>
      <c r="C248" t="inlineStr">
        <is>
          <t>800/1200</t>
        </is>
      </c>
      <c r="D248" t="n">
        <v>11</v>
      </c>
      <c r="E248" s="424" t="n">
        <v>718.92</v>
      </c>
    </row>
    <row r="249">
      <c r="A249" t="inlineStr">
        <is>
          <t>S+</t>
        </is>
      </c>
      <c r="B249" t="inlineStr">
        <is>
          <t>ei</t>
        </is>
      </c>
      <c r="C249" t="inlineStr">
        <is>
          <t>800/1200</t>
        </is>
      </c>
      <c r="D249" t="n">
        <v>12</v>
      </c>
      <c r="E249" s="424" t="n">
        <v>798.4299999999999</v>
      </c>
    </row>
    <row r="250">
      <c r="A250" t="inlineStr">
        <is>
          <t>S+</t>
        </is>
      </c>
      <c r="B250" t="inlineStr">
        <is>
          <t>ei</t>
        </is>
      </c>
      <c r="C250" t="inlineStr">
        <is>
          <t>900/1350</t>
        </is>
      </c>
      <c r="D250" t="n">
        <v>9</v>
      </c>
      <c r="E250" s="424" t="n">
        <v>680.2</v>
      </c>
    </row>
    <row r="251">
      <c r="A251" t="inlineStr">
        <is>
          <t>S+</t>
        </is>
      </c>
      <c r="B251" t="inlineStr">
        <is>
          <t>ei</t>
        </is>
      </c>
      <c r="C251" t="inlineStr">
        <is>
          <t>900/1350</t>
        </is>
      </c>
      <c r="D251" t="n">
        <v>10</v>
      </c>
      <c r="E251" s="424" t="n">
        <v>773.87</v>
      </c>
    </row>
    <row r="252">
      <c r="A252" t="inlineStr">
        <is>
          <t>S+</t>
        </is>
      </c>
      <c r="B252" t="inlineStr">
        <is>
          <t>ei</t>
        </is>
      </c>
      <c r="C252" t="inlineStr">
        <is>
          <t>900/1350</t>
        </is>
      </c>
      <c r="D252" t="n">
        <v>11</v>
      </c>
      <c r="E252" s="424" t="n">
        <v>849.6900000000001</v>
      </c>
    </row>
    <row r="253">
      <c r="A253" t="inlineStr">
        <is>
          <t>S+</t>
        </is>
      </c>
      <c r="B253" t="inlineStr">
        <is>
          <t>ei</t>
        </is>
      </c>
      <c r="C253" t="inlineStr">
        <is>
          <t>900/1350</t>
        </is>
      </c>
      <c r="D253" t="n">
        <v>12</v>
      </c>
      <c r="E253" s="424" t="n">
        <v>948.05</v>
      </c>
    </row>
    <row r="254">
      <c r="A254" t="inlineStr">
        <is>
          <t>S+</t>
        </is>
      </c>
      <c r="B254" t="inlineStr">
        <is>
          <t>ei</t>
        </is>
      </c>
      <c r="C254" t="inlineStr">
        <is>
          <t>900/1350</t>
        </is>
      </c>
      <c r="D254" t="n">
        <v>13</v>
      </c>
      <c r="E254" s="424" t="n">
        <v>960.38</v>
      </c>
    </row>
    <row r="255">
      <c r="A255" t="inlineStr">
        <is>
          <t>S+</t>
        </is>
      </c>
      <c r="B255" t="inlineStr">
        <is>
          <t>ei</t>
        </is>
      </c>
      <c r="C255" t="inlineStr">
        <is>
          <t>1000/1500</t>
        </is>
      </c>
      <c r="D255" t="n">
        <v>9</v>
      </c>
      <c r="E255" s="424" t="n">
        <v>717.4</v>
      </c>
    </row>
    <row r="256">
      <c r="A256" t="inlineStr">
        <is>
          <t>S+</t>
        </is>
      </c>
      <c r="B256" t="inlineStr">
        <is>
          <t>ei</t>
        </is>
      </c>
      <c r="C256" t="inlineStr">
        <is>
          <t>1000/1500</t>
        </is>
      </c>
      <c r="D256" t="n">
        <v>10</v>
      </c>
      <c r="E256" s="424" t="n">
        <v>834.83</v>
      </c>
    </row>
    <row r="257">
      <c r="A257" t="inlineStr">
        <is>
          <t>S+</t>
        </is>
      </c>
      <c r="B257" t="inlineStr">
        <is>
          <t>ei</t>
        </is>
      </c>
      <c r="C257" t="inlineStr">
        <is>
          <t>1000/1500</t>
        </is>
      </c>
      <c r="D257" t="n">
        <v>11</v>
      </c>
      <c r="E257" s="424" t="n">
        <v>878.58</v>
      </c>
    </row>
    <row r="258">
      <c r="A258" t="inlineStr">
        <is>
          <t>S+</t>
        </is>
      </c>
      <c r="B258" t="inlineStr">
        <is>
          <t>ei</t>
        </is>
      </c>
      <c r="C258" t="inlineStr">
        <is>
          <t>1000/1500</t>
        </is>
      </c>
      <c r="D258" t="n">
        <v>12</v>
      </c>
      <c r="E258" s="424" t="n">
        <v>968.7</v>
      </c>
    </row>
    <row r="259">
      <c r="A259" t="inlineStr">
        <is>
          <t>S+</t>
        </is>
      </c>
      <c r="B259" t="inlineStr">
        <is>
          <t>ei</t>
        </is>
      </c>
      <c r="C259" t="inlineStr">
        <is>
          <t>1000/1500</t>
        </is>
      </c>
      <c r="D259" t="n">
        <v>13</v>
      </c>
      <c r="E259" s="424" t="n">
        <v>1028.52</v>
      </c>
    </row>
    <row r="260">
      <c r="A260" t="inlineStr">
        <is>
          <t>S+</t>
        </is>
      </c>
      <c r="B260" t="inlineStr">
        <is>
          <t>ei</t>
        </is>
      </c>
      <c r="C260" t="inlineStr">
        <is>
          <t>1000/1500</t>
        </is>
      </c>
      <c r="D260" t="n">
        <v>14</v>
      </c>
      <c r="E260" s="424" t="n">
        <v>1119.36</v>
      </c>
    </row>
    <row r="261">
      <c r="A261" t="inlineStr">
        <is>
          <t>S+</t>
        </is>
      </c>
      <c r="B261" t="inlineStr">
        <is>
          <t>ei</t>
        </is>
      </c>
      <c r="C261" t="inlineStr">
        <is>
          <t>1000/1500</t>
        </is>
      </c>
      <c r="D261" t="n">
        <v>15</v>
      </c>
      <c r="E261" s="424" t="n">
        <v>1184.07</v>
      </c>
    </row>
    <row r="262">
      <c r="A262" t="inlineStr">
        <is>
          <t>S+</t>
        </is>
      </c>
      <c r="B262" t="inlineStr">
        <is>
          <t>ei</t>
        </is>
      </c>
      <c r="C262" t="inlineStr">
        <is>
          <t>1200/1800</t>
        </is>
      </c>
      <c r="D262" t="n">
        <v>12</v>
      </c>
      <c r="E262" s="424" t="n">
        <v>1349.3</v>
      </c>
    </row>
    <row r="263">
      <c r="A263" t="inlineStr">
        <is>
          <t>S+</t>
        </is>
      </c>
      <c r="B263" t="inlineStr">
        <is>
          <t>ei</t>
        </is>
      </c>
      <c r="C263" t="inlineStr">
        <is>
          <t>1200/1800</t>
        </is>
      </c>
      <c r="D263" t="n">
        <v>13</v>
      </c>
      <c r="E263" s="424" t="n">
        <v>1455.85</v>
      </c>
    </row>
    <row r="264">
      <c r="A264" t="inlineStr">
        <is>
          <t>S+</t>
        </is>
      </c>
      <c r="B264" t="inlineStr">
        <is>
          <t>ei</t>
        </is>
      </c>
      <c r="C264" t="inlineStr">
        <is>
          <t>1200/1800</t>
        </is>
      </c>
      <c r="D264" t="n">
        <v>14</v>
      </c>
      <c r="E264" s="424" t="n">
        <v>1569.27</v>
      </c>
    </row>
    <row r="265">
      <c r="A265" t="inlineStr">
        <is>
          <t>S+</t>
        </is>
      </c>
      <c r="B265" t="inlineStr">
        <is>
          <t>ei</t>
        </is>
      </c>
      <c r="C265" t="inlineStr">
        <is>
          <t>1200/1800</t>
        </is>
      </c>
      <c r="D265" t="n">
        <v>15</v>
      </c>
      <c r="E265" s="424" t="n">
        <v>1682.72</v>
      </c>
    </row>
    <row r="266">
      <c r="A266" t="inlineStr">
        <is>
          <t>S+ FastPlus</t>
        </is>
      </c>
      <c r="B266" t="inlineStr">
        <is>
          <t>rond</t>
        </is>
      </c>
      <c r="C266" t="n">
        <v>200</v>
      </c>
      <c r="D266" t="n">
        <v>3</v>
      </c>
      <c r="E266" s="424" t="n">
        <v>74.02</v>
      </c>
    </row>
    <row r="267">
      <c r="A267" t="inlineStr">
        <is>
          <t>S+ FastPlus</t>
        </is>
      </c>
      <c r="B267" t="inlineStr">
        <is>
          <t>rond</t>
        </is>
      </c>
      <c r="C267" t="n">
        <v>200</v>
      </c>
      <c r="D267" t="n">
        <v>4</v>
      </c>
      <c r="E267" s="424" t="n">
        <v>80.40000000000001</v>
      </c>
    </row>
    <row r="268">
      <c r="A268" t="inlineStr">
        <is>
          <t>S+ FastPlus</t>
        </is>
      </c>
      <c r="B268" t="inlineStr">
        <is>
          <t>rond</t>
        </is>
      </c>
      <c r="C268" t="n">
        <v>200</v>
      </c>
      <c r="D268" t="n">
        <v>5</v>
      </c>
      <c r="E268" s="424" t="n">
        <v>88.48</v>
      </c>
    </row>
    <row r="269">
      <c r="A269" t="inlineStr">
        <is>
          <t>S+ FastPlus</t>
        </is>
      </c>
      <c r="B269" t="inlineStr">
        <is>
          <t>rond</t>
        </is>
      </c>
      <c r="C269" t="n">
        <v>200</v>
      </c>
      <c r="D269" t="n">
        <v>6</v>
      </c>
      <c r="E269" s="424" t="n">
        <v>109.37</v>
      </c>
    </row>
    <row r="270">
      <c r="A270" t="inlineStr">
        <is>
          <t>S+ FastPlus</t>
        </is>
      </c>
      <c r="B270" t="inlineStr">
        <is>
          <t>rond</t>
        </is>
      </c>
      <c r="C270" t="n">
        <v>225</v>
      </c>
      <c r="D270" t="n">
        <v>3</v>
      </c>
      <c r="E270" s="424" t="n">
        <v>79.36</v>
      </c>
    </row>
    <row r="271">
      <c r="A271" t="inlineStr">
        <is>
          <t>S+ FastPlus</t>
        </is>
      </c>
      <c r="B271" t="inlineStr">
        <is>
          <t>rond</t>
        </is>
      </c>
      <c r="C271" t="n">
        <v>225</v>
      </c>
      <c r="D271" t="n">
        <v>4</v>
      </c>
      <c r="E271" s="424" t="n">
        <v>86.87</v>
      </c>
    </row>
    <row r="272">
      <c r="A272" t="inlineStr">
        <is>
          <t>S+ FastPlus</t>
        </is>
      </c>
      <c r="B272" t="inlineStr">
        <is>
          <t>rond</t>
        </is>
      </c>
      <c r="C272" t="n">
        <v>225</v>
      </c>
      <c r="D272" t="n">
        <v>5</v>
      </c>
      <c r="E272" s="424" t="n">
        <v>91.98999999999999</v>
      </c>
    </row>
    <row r="273">
      <c r="A273" t="inlineStr">
        <is>
          <t>S+ FastPlus</t>
        </is>
      </c>
      <c r="B273" t="inlineStr">
        <is>
          <t>rond</t>
        </is>
      </c>
      <c r="C273" t="n">
        <v>225</v>
      </c>
      <c r="D273" t="n">
        <v>6</v>
      </c>
      <c r="E273" s="424" t="n">
        <v>113.08</v>
      </c>
    </row>
    <row r="274">
      <c r="A274" t="inlineStr">
        <is>
          <t>S+ FastPlus</t>
        </is>
      </c>
      <c r="B274" t="inlineStr">
        <is>
          <t>rond</t>
        </is>
      </c>
      <c r="C274" t="n">
        <v>250</v>
      </c>
      <c r="D274" t="n">
        <v>3</v>
      </c>
      <c r="E274" s="424" t="n">
        <v>84.76000000000001</v>
      </c>
    </row>
    <row r="275">
      <c r="A275" t="inlineStr">
        <is>
          <t>S+ FastPlus</t>
        </is>
      </c>
      <c r="B275" t="inlineStr">
        <is>
          <t>rond</t>
        </is>
      </c>
      <c r="C275" t="n">
        <v>250</v>
      </c>
      <c r="D275" t="n">
        <v>4</v>
      </c>
      <c r="E275" s="424" t="n">
        <v>89.14</v>
      </c>
    </row>
    <row r="276">
      <c r="A276" t="inlineStr">
        <is>
          <t>S+ FastPlus</t>
        </is>
      </c>
      <c r="B276" t="inlineStr">
        <is>
          <t>rond</t>
        </is>
      </c>
      <c r="C276" t="n">
        <v>250</v>
      </c>
      <c r="D276" t="n">
        <v>5</v>
      </c>
      <c r="E276" s="424" t="n">
        <v>98.40000000000001</v>
      </c>
    </row>
    <row r="277">
      <c r="A277" t="inlineStr">
        <is>
          <t>S+ FastPlus</t>
        </is>
      </c>
      <c r="B277" t="inlineStr">
        <is>
          <t>rond</t>
        </is>
      </c>
      <c r="C277" t="n">
        <v>250</v>
      </c>
      <c r="D277" t="n">
        <v>6</v>
      </c>
      <c r="E277" s="424" t="n">
        <v>119.94</v>
      </c>
    </row>
    <row r="278">
      <c r="A278" t="inlineStr">
        <is>
          <t>S+ FastPlus</t>
        </is>
      </c>
      <c r="B278" t="inlineStr">
        <is>
          <t>rond</t>
        </is>
      </c>
      <c r="C278" t="n">
        <v>300</v>
      </c>
      <c r="D278" t="n">
        <v>3</v>
      </c>
      <c r="E278" s="424" t="n">
        <v>89.03</v>
      </c>
    </row>
    <row r="279">
      <c r="A279" t="inlineStr">
        <is>
          <t>S+ FastPlus</t>
        </is>
      </c>
      <c r="B279" t="inlineStr">
        <is>
          <t>rond</t>
        </is>
      </c>
      <c r="C279" t="n">
        <v>300</v>
      </c>
      <c r="D279" t="n">
        <v>4</v>
      </c>
      <c r="E279" s="424" t="n">
        <v>104.12</v>
      </c>
    </row>
    <row r="280">
      <c r="A280" t="inlineStr">
        <is>
          <t>S+ FastPlus</t>
        </is>
      </c>
      <c r="B280" t="inlineStr">
        <is>
          <t>rond</t>
        </is>
      </c>
      <c r="C280" t="n">
        <v>300</v>
      </c>
      <c r="D280" t="n">
        <v>5</v>
      </c>
      <c r="E280" s="424" t="n">
        <v>115.19</v>
      </c>
    </row>
    <row r="281">
      <c r="A281" t="inlineStr">
        <is>
          <t>S+ FastPlus</t>
        </is>
      </c>
      <c r="B281" t="inlineStr">
        <is>
          <t>rond</t>
        </is>
      </c>
      <c r="C281" t="n">
        <v>300</v>
      </c>
      <c r="D281" t="n">
        <v>6</v>
      </c>
      <c r="E281" s="424" t="n">
        <v>139.78</v>
      </c>
    </row>
    <row r="282">
      <c r="A282" t="inlineStr">
        <is>
          <t>S+ FastPlus</t>
        </is>
      </c>
      <c r="B282" t="inlineStr">
        <is>
          <t>rond</t>
        </is>
      </c>
      <c r="C282" t="n">
        <v>350</v>
      </c>
      <c r="D282" t="n">
        <v>3</v>
      </c>
      <c r="E282" s="424" t="n">
        <v>109.79</v>
      </c>
    </row>
    <row r="283">
      <c r="A283" t="inlineStr">
        <is>
          <t>S+ FastPlus</t>
        </is>
      </c>
      <c r="B283" t="inlineStr">
        <is>
          <t>rond</t>
        </is>
      </c>
      <c r="C283" t="n">
        <v>350</v>
      </c>
      <c r="D283" t="n">
        <v>4</v>
      </c>
      <c r="E283" s="424" t="n">
        <v>119.74</v>
      </c>
    </row>
    <row r="284">
      <c r="A284" t="inlineStr">
        <is>
          <t>S+ FastPlus</t>
        </is>
      </c>
      <c r="B284" t="inlineStr">
        <is>
          <t>rond</t>
        </is>
      </c>
      <c r="C284" t="n">
        <v>350</v>
      </c>
      <c r="D284" t="n">
        <v>5</v>
      </c>
      <c r="E284" s="424" t="n">
        <v>132.75</v>
      </c>
    </row>
    <row r="285">
      <c r="A285" t="inlineStr">
        <is>
          <t>S+ FastPlus</t>
        </is>
      </c>
      <c r="B285" t="inlineStr">
        <is>
          <t>rond</t>
        </is>
      </c>
      <c r="C285" t="n">
        <v>350</v>
      </c>
      <c r="D285" t="n">
        <v>6</v>
      </c>
      <c r="E285" s="424" t="n">
        <v>159.76</v>
      </c>
    </row>
    <row r="286">
      <c r="A286" t="inlineStr">
        <is>
          <t>S+ FastPlus</t>
        </is>
      </c>
      <c r="B286" t="inlineStr">
        <is>
          <t>rond</t>
        </is>
      </c>
      <c r="C286" t="n">
        <v>400</v>
      </c>
      <c r="D286" t="n">
        <v>3</v>
      </c>
      <c r="E286" s="424" t="n">
        <v>119.59</v>
      </c>
    </row>
    <row r="287">
      <c r="A287" t="inlineStr">
        <is>
          <t>S+ FastPlus</t>
        </is>
      </c>
      <c r="B287" t="inlineStr">
        <is>
          <t>rond</t>
        </is>
      </c>
      <c r="C287" t="n">
        <v>400</v>
      </c>
      <c r="D287" t="n">
        <v>4</v>
      </c>
      <c r="E287" s="424" t="n">
        <v>131.81</v>
      </c>
    </row>
    <row r="288">
      <c r="A288" t="inlineStr">
        <is>
          <t>S+ FastPlus</t>
        </is>
      </c>
      <c r="B288" t="inlineStr">
        <is>
          <t>rond</t>
        </is>
      </c>
      <c r="C288" t="n">
        <v>400</v>
      </c>
      <c r="D288" t="n">
        <v>5</v>
      </c>
      <c r="E288" s="424" t="n">
        <v>145.57</v>
      </c>
    </row>
    <row r="289">
      <c r="A289" t="inlineStr">
        <is>
          <t>S+ FastPlus</t>
        </is>
      </c>
      <c r="B289" t="inlineStr">
        <is>
          <t>rond</t>
        </is>
      </c>
      <c r="C289" t="n">
        <v>400</v>
      </c>
      <c r="D289" t="n">
        <v>6</v>
      </c>
      <c r="E289" s="424" t="n">
        <v>176.48</v>
      </c>
    </row>
    <row r="290">
      <c r="A290" t="inlineStr">
        <is>
          <t>S+ FastPlus</t>
        </is>
      </c>
      <c r="B290" t="inlineStr">
        <is>
          <t>rond</t>
        </is>
      </c>
      <c r="C290" t="n">
        <v>400</v>
      </c>
      <c r="D290" t="n">
        <v>7</v>
      </c>
      <c r="E290" s="424" t="n">
        <v>218.71</v>
      </c>
    </row>
    <row r="291">
      <c r="A291" t="inlineStr">
        <is>
          <t>S+ FastPlus</t>
        </is>
      </c>
      <c r="B291" t="inlineStr">
        <is>
          <t>rond</t>
        </is>
      </c>
      <c r="C291" t="n">
        <v>450</v>
      </c>
      <c r="D291" t="n">
        <v>3</v>
      </c>
      <c r="E291" s="424" t="n">
        <v>130.72</v>
      </c>
    </row>
    <row r="292">
      <c r="A292" t="inlineStr">
        <is>
          <t>S+ FastPlus</t>
        </is>
      </c>
      <c r="B292" t="inlineStr">
        <is>
          <t>rond</t>
        </is>
      </c>
      <c r="C292" t="n">
        <v>450</v>
      </c>
      <c r="D292" t="n">
        <v>4</v>
      </c>
      <c r="E292" s="424" t="n">
        <v>145.69</v>
      </c>
    </row>
    <row r="293">
      <c r="A293" t="inlineStr">
        <is>
          <t>S+ FastPlus</t>
        </is>
      </c>
      <c r="B293" t="inlineStr">
        <is>
          <t>rond</t>
        </is>
      </c>
      <c r="C293" t="n">
        <v>450</v>
      </c>
      <c r="D293" t="n">
        <v>5</v>
      </c>
      <c r="E293" s="424" t="n">
        <v>162.06</v>
      </c>
    </row>
    <row r="294">
      <c r="A294" t="inlineStr">
        <is>
          <t>S+ FastPlus</t>
        </is>
      </c>
      <c r="B294" t="inlineStr">
        <is>
          <t>rond</t>
        </is>
      </c>
      <c r="C294" t="n">
        <v>450</v>
      </c>
      <c r="D294" t="n">
        <v>6</v>
      </c>
      <c r="E294" s="424" t="n">
        <v>194.34</v>
      </c>
    </row>
    <row r="295">
      <c r="A295" t="inlineStr">
        <is>
          <t>S+ FastPlus</t>
        </is>
      </c>
      <c r="B295" t="inlineStr">
        <is>
          <t>rond</t>
        </is>
      </c>
      <c r="C295" t="n">
        <v>450</v>
      </c>
      <c r="D295" t="n">
        <v>7</v>
      </c>
      <c r="E295" s="424" t="n">
        <v>242.14</v>
      </c>
    </row>
    <row r="296">
      <c r="A296" t="inlineStr">
        <is>
          <t>S+ FastPlus</t>
        </is>
      </c>
      <c r="B296" t="inlineStr">
        <is>
          <t>rond</t>
        </is>
      </c>
      <c r="C296" t="n">
        <v>500</v>
      </c>
      <c r="D296" t="n">
        <v>3</v>
      </c>
      <c r="E296" s="424" t="n">
        <v>143.63</v>
      </c>
    </row>
    <row r="297">
      <c r="A297" t="inlineStr">
        <is>
          <t>S+ FastPlus</t>
        </is>
      </c>
      <c r="B297" t="inlineStr">
        <is>
          <t>rond</t>
        </is>
      </c>
      <c r="C297" t="n">
        <v>500</v>
      </c>
      <c r="D297" t="n">
        <v>4</v>
      </c>
      <c r="E297" s="424" t="n">
        <v>160.92</v>
      </c>
    </row>
    <row r="298">
      <c r="A298" t="inlineStr">
        <is>
          <t>S+ FastPlus</t>
        </is>
      </c>
      <c r="B298" t="inlineStr">
        <is>
          <t>rond</t>
        </is>
      </c>
      <c r="C298" t="n">
        <v>500</v>
      </c>
      <c r="D298" t="n">
        <v>5</v>
      </c>
      <c r="E298" s="424" t="n">
        <v>179.11</v>
      </c>
    </row>
    <row r="299">
      <c r="A299" t="inlineStr">
        <is>
          <t>S+ FastPlus</t>
        </is>
      </c>
      <c r="B299" t="inlineStr">
        <is>
          <t>rond</t>
        </is>
      </c>
      <c r="C299" t="n">
        <v>500</v>
      </c>
      <c r="D299" t="n">
        <v>6</v>
      </c>
      <c r="E299" s="424" t="n">
        <v>215.03</v>
      </c>
    </row>
    <row r="300">
      <c r="A300" t="inlineStr">
        <is>
          <t>S+ FastPlus</t>
        </is>
      </c>
      <c r="B300" t="inlineStr">
        <is>
          <t>rond</t>
        </is>
      </c>
      <c r="C300" t="n">
        <v>500</v>
      </c>
      <c r="D300" t="n">
        <v>7</v>
      </c>
      <c r="E300" s="424" t="n">
        <v>267.08</v>
      </c>
    </row>
    <row r="301">
      <c r="A301" t="inlineStr">
        <is>
          <t>S+ FastPlus</t>
        </is>
      </c>
      <c r="B301" t="inlineStr">
        <is>
          <t>rond</t>
        </is>
      </c>
      <c r="C301" t="n">
        <v>500</v>
      </c>
      <c r="D301" t="n">
        <v>8</v>
      </c>
      <c r="E301" s="424" t="n">
        <v>296.7</v>
      </c>
    </row>
    <row r="302">
      <c r="A302" t="inlineStr">
        <is>
          <t>S+ FastPlus</t>
        </is>
      </c>
      <c r="B302" t="inlineStr">
        <is>
          <t>rond</t>
        </is>
      </c>
      <c r="C302" t="n">
        <v>550</v>
      </c>
      <c r="D302" t="n">
        <v>3</v>
      </c>
      <c r="E302" s="424" t="n">
        <v>151.45</v>
      </c>
    </row>
    <row r="303">
      <c r="A303" t="inlineStr">
        <is>
          <t>S+ FastPlus</t>
        </is>
      </c>
      <c r="B303" t="inlineStr">
        <is>
          <t>rond</t>
        </is>
      </c>
      <c r="C303" t="n">
        <v>550</v>
      </c>
      <c r="D303" t="n">
        <v>4</v>
      </c>
      <c r="E303" s="424" t="n">
        <v>166.99</v>
      </c>
    </row>
    <row r="304">
      <c r="A304" t="inlineStr">
        <is>
          <t>S+ FastPlus</t>
        </is>
      </c>
      <c r="B304" t="inlineStr">
        <is>
          <t>rond</t>
        </is>
      </c>
      <c r="C304" t="n">
        <v>550</v>
      </c>
      <c r="D304" t="n">
        <v>5</v>
      </c>
      <c r="E304" s="424" t="n">
        <v>192.28</v>
      </c>
    </row>
    <row r="305">
      <c r="A305" t="inlineStr">
        <is>
          <t>S+ FastPlus</t>
        </is>
      </c>
      <c r="B305" t="inlineStr">
        <is>
          <t>rond</t>
        </is>
      </c>
      <c r="C305" t="n">
        <v>550</v>
      </c>
      <c r="D305" t="n">
        <v>6</v>
      </c>
      <c r="E305" s="424" t="n">
        <v>230.44</v>
      </c>
    </row>
    <row r="306">
      <c r="A306" t="inlineStr">
        <is>
          <t>S+ FastPlus</t>
        </is>
      </c>
      <c r="B306" t="inlineStr">
        <is>
          <t>rond</t>
        </is>
      </c>
      <c r="C306" t="n">
        <v>550</v>
      </c>
      <c r="D306" t="n">
        <v>7</v>
      </c>
      <c r="E306" s="424" t="n">
        <v>286.94</v>
      </c>
    </row>
    <row r="307">
      <c r="A307" t="inlineStr">
        <is>
          <t>S+ FastPlus</t>
        </is>
      </c>
      <c r="B307" t="inlineStr">
        <is>
          <t>rond</t>
        </is>
      </c>
      <c r="C307" t="n">
        <v>550</v>
      </c>
      <c r="D307" t="n">
        <v>8</v>
      </c>
      <c r="E307" s="424" t="n">
        <v>317.17</v>
      </c>
    </row>
    <row r="308">
      <c r="A308" t="inlineStr">
        <is>
          <t>S+ FastPlus</t>
        </is>
      </c>
      <c r="B308" t="inlineStr">
        <is>
          <t>rond</t>
        </is>
      </c>
      <c r="C308" t="n">
        <v>600</v>
      </c>
      <c r="D308" t="n">
        <v>3</v>
      </c>
      <c r="E308" s="424" t="n">
        <v>162.16</v>
      </c>
    </row>
    <row r="309">
      <c r="A309" t="inlineStr">
        <is>
          <t>S+ FastPlus</t>
        </is>
      </c>
      <c r="B309" t="inlineStr">
        <is>
          <t>rond</t>
        </is>
      </c>
      <c r="C309" t="n">
        <v>600</v>
      </c>
      <c r="D309" t="n">
        <v>4</v>
      </c>
      <c r="E309" s="424" t="n">
        <v>184.37</v>
      </c>
    </row>
    <row r="310">
      <c r="A310" t="inlineStr">
        <is>
          <t>S+ FastPlus</t>
        </is>
      </c>
      <c r="B310" t="inlineStr">
        <is>
          <t>rond</t>
        </is>
      </c>
      <c r="C310" t="n">
        <v>600</v>
      </c>
      <c r="D310" t="n">
        <v>5</v>
      </c>
      <c r="E310" s="424" t="n">
        <v>205.82</v>
      </c>
    </row>
    <row r="311">
      <c r="A311" t="inlineStr">
        <is>
          <t>S+ FastPlus</t>
        </is>
      </c>
      <c r="B311" t="inlineStr">
        <is>
          <t>rond</t>
        </is>
      </c>
      <c r="C311" t="n">
        <v>600</v>
      </c>
      <c r="D311" t="n">
        <v>6</v>
      </c>
      <c r="E311" s="424" t="n">
        <v>246.35</v>
      </c>
    </row>
    <row r="312">
      <c r="A312" t="inlineStr">
        <is>
          <t>S+ FastPlus</t>
        </is>
      </c>
      <c r="B312" t="inlineStr">
        <is>
          <t>rond</t>
        </is>
      </c>
      <c r="C312" t="n">
        <v>600</v>
      </c>
      <c r="D312" t="n">
        <v>7</v>
      </c>
      <c r="E312" s="424" t="n">
        <v>307.24</v>
      </c>
    </row>
    <row r="313">
      <c r="A313" t="inlineStr">
        <is>
          <t>S+ FastPlus</t>
        </is>
      </c>
      <c r="B313" t="inlineStr">
        <is>
          <t>rond</t>
        </is>
      </c>
      <c r="C313" t="n">
        <v>600</v>
      </c>
      <c r="D313" t="n">
        <v>8</v>
      </c>
      <c r="E313" s="424" t="n">
        <v>337.64</v>
      </c>
    </row>
    <row r="314">
      <c r="A314" t="inlineStr">
        <is>
          <t>S+ FastPlus</t>
        </is>
      </c>
      <c r="B314" t="inlineStr">
        <is>
          <t>rond</t>
        </is>
      </c>
      <c r="C314" t="n">
        <v>650</v>
      </c>
      <c r="D314" t="n">
        <v>3</v>
      </c>
      <c r="E314" s="424" t="n">
        <v>179</v>
      </c>
    </row>
    <row r="315">
      <c r="A315" t="inlineStr">
        <is>
          <t>S+ FastPlus</t>
        </is>
      </c>
      <c r="B315" t="inlineStr">
        <is>
          <t>rond</t>
        </is>
      </c>
      <c r="C315" t="n">
        <v>650</v>
      </c>
      <c r="D315" t="n">
        <v>4</v>
      </c>
      <c r="E315" s="424" t="n">
        <v>197.96</v>
      </c>
    </row>
    <row r="316">
      <c r="A316" t="inlineStr">
        <is>
          <t>S+ FastPlus</t>
        </is>
      </c>
      <c r="B316" t="inlineStr">
        <is>
          <t>rond</t>
        </is>
      </c>
      <c r="C316" t="n">
        <v>650</v>
      </c>
      <c r="D316" t="n">
        <v>5</v>
      </c>
      <c r="E316" s="424" t="n">
        <v>217.86</v>
      </c>
    </row>
    <row r="317">
      <c r="A317" t="inlineStr">
        <is>
          <t>S+ FastPlus</t>
        </is>
      </c>
      <c r="B317" t="inlineStr">
        <is>
          <t>rond</t>
        </is>
      </c>
      <c r="C317" t="n">
        <v>650</v>
      </c>
      <c r="D317" t="n">
        <v>6</v>
      </c>
      <c r="E317" s="424" t="n">
        <v>262.14</v>
      </c>
    </row>
    <row r="318">
      <c r="A318" t="inlineStr">
        <is>
          <t>S+ FastPlus</t>
        </is>
      </c>
      <c r="B318" t="inlineStr">
        <is>
          <t>rond</t>
        </is>
      </c>
      <c r="C318" t="n">
        <v>650</v>
      </c>
      <c r="D318" t="n">
        <v>7</v>
      </c>
      <c r="E318" s="424" t="n">
        <v>327.51</v>
      </c>
    </row>
    <row r="319">
      <c r="A319" t="inlineStr">
        <is>
          <t>S+ FastPlus</t>
        </is>
      </c>
      <c r="B319" t="inlineStr">
        <is>
          <t>rond</t>
        </is>
      </c>
      <c r="C319" t="n">
        <v>650</v>
      </c>
      <c r="D319" t="n">
        <v>8</v>
      </c>
      <c r="E319" s="424" t="n">
        <v>360.94</v>
      </c>
    </row>
    <row r="320">
      <c r="A320" t="inlineStr">
        <is>
          <t>S+ FastPlus</t>
        </is>
      </c>
      <c r="B320" t="inlineStr">
        <is>
          <t>rond</t>
        </is>
      </c>
      <c r="C320" t="n">
        <v>650</v>
      </c>
      <c r="D320" t="n">
        <v>9</v>
      </c>
      <c r="E320" s="424" t="n">
        <v>397.78</v>
      </c>
    </row>
    <row r="321">
      <c r="A321" t="inlineStr">
        <is>
          <t>S+ FastPlus</t>
        </is>
      </c>
      <c r="B321" t="inlineStr">
        <is>
          <t>rond</t>
        </is>
      </c>
      <c r="C321" t="n">
        <v>700</v>
      </c>
      <c r="D321" t="n">
        <v>4</v>
      </c>
      <c r="E321" s="424" t="n">
        <v>217.36</v>
      </c>
    </row>
    <row r="322">
      <c r="A322" t="inlineStr">
        <is>
          <t>S+ FastPlus</t>
        </is>
      </c>
      <c r="B322" t="inlineStr">
        <is>
          <t>rond</t>
        </is>
      </c>
      <c r="C322" t="n">
        <v>700</v>
      </c>
      <c r="D322" t="n">
        <v>5</v>
      </c>
      <c r="E322" s="424" t="n">
        <v>242.66</v>
      </c>
    </row>
    <row r="323">
      <c r="A323" t="inlineStr">
        <is>
          <t>S+ FastPlus</t>
        </is>
      </c>
      <c r="B323" t="inlineStr">
        <is>
          <t>rond</t>
        </is>
      </c>
      <c r="C323" t="n">
        <v>700</v>
      </c>
      <c r="D323" t="n">
        <v>6</v>
      </c>
      <c r="E323" s="424" t="n">
        <v>289.05</v>
      </c>
    </row>
    <row r="324">
      <c r="A324" t="inlineStr">
        <is>
          <t>S+ FastPlus</t>
        </is>
      </c>
      <c r="B324" t="inlineStr">
        <is>
          <t>rond</t>
        </is>
      </c>
      <c r="C324" t="n">
        <v>700</v>
      </c>
      <c r="D324" t="n">
        <v>7</v>
      </c>
      <c r="E324" s="424" t="n">
        <v>358.64</v>
      </c>
    </row>
    <row r="325">
      <c r="A325" t="inlineStr">
        <is>
          <t>S+ FastPlus</t>
        </is>
      </c>
      <c r="B325" t="inlineStr">
        <is>
          <t>rond</t>
        </is>
      </c>
      <c r="C325" t="n">
        <v>700</v>
      </c>
      <c r="D325" t="n">
        <v>8</v>
      </c>
      <c r="E325" s="424" t="n">
        <v>394.76</v>
      </c>
    </row>
    <row r="326">
      <c r="A326" t="inlineStr">
        <is>
          <t>S+ FastPlus</t>
        </is>
      </c>
      <c r="B326" t="inlineStr">
        <is>
          <t>rond</t>
        </is>
      </c>
      <c r="C326" t="n">
        <v>700</v>
      </c>
      <c r="D326" t="n">
        <v>9</v>
      </c>
      <c r="E326" s="424" t="n">
        <v>432.43</v>
      </c>
    </row>
    <row r="327">
      <c r="A327" t="inlineStr">
        <is>
          <t>S+ FastPlus</t>
        </is>
      </c>
      <c r="B327" t="inlineStr">
        <is>
          <t>rond</t>
        </is>
      </c>
      <c r="C327" t="n">
        <v>750</v>
      </c>
      <c r="D327" t="n">
        <v>4</v>
      </c>
      <c r="E327" s="424" t="n">
        <v>222.58</v>
      </c>
    </row>
    <row r="328">
      <c r="A328" t="inlineStr">
        <is>
          <t>S+ FastPlus</t>
        </is>
      </c>
      <c r="B328" t="inlineStr">
        <is>
          <t>rond</t>
        </is>
      </c>
      <c r="C328" t="n">
        <v>750</v>
      </c>
      <c r="D328" t="n">
        <v>5</v>
      </c>
      <c r="E328" s="424" t="n">
        <v>256.87</v>
      </c>
    </row>
    <row r="329">
      <c r="A329" t="inlineStr">
        <is>
          <t>S+ FastPlus</t>
        </is>
      </c>
      <c r="B329" t="inlineStr">
        <is>
          <t>rond</t>
        </is>
      </c>
      <c r="C329" t="n">
        <v>750</v>
      </c>
      <c r="D329" t="n">
        <v>6</v>
      </c>
      <c r="E329" s="424" t="n">
        <v>305.66</v>
      </c>
    </row>
    <row r="330">
      <c r="A330" t="inlineStr">
        <is>
          <t>S+ FastPlus</t>
        </is>
      </c>
      <c r="B330" t="inlineStr">
        <is>
          <t>rond</t>
        </is>
      </c>
      <c r="C330" t="n">
        <v>750</v>
      </c>
      <c r="D330" t="n">
        <v>7</v>
      </c>
      <c r="E330" s="424" t="n">
        <v>374.44</v>
      </c>
    </row>
    <row r="331">
      <c r="A331" t="inlineStr">
        <is>
          <t>S+ FastPlus</t>
        </is>
      </c>
      <c r="B331" t="inlineStr">
        <is>
          <t>rond</t>
        </is>
      </c>
      <c r="C331" t="n">
        <v>750</v>
      </c>
      <c r="D331" t="n">
        <v>8</v>
      </c>
      <c r="E331" s="424" t="n">
        <v>417.19</v>
      </c>
    </row>
    <row r="332">
      <c r="A332" t="inlineStr">
        <is>
          <t>S+ FastPlus</t>
        </is>
      </c>
      <c r="B332" t="inlineStr">
        <is>
          <t>rond</t>
        </is>
      </c>
      <c r="C332" t="n">
        <v>750</v>
      </c>
      <c r="D332" t="n">
        <v>9</v>
      </c>
      <c r="E332" s="424" t="n">
        <v>456.87</v>
      </c>
    </row>
    <row r="333">
      <c r="A333" t="inlineStr">
        <is>
          <t>S+ FastPlus</t>
        </is>
      </c>
      <c r="B333" t="inlineStr">
        <is>
          <t>rond</t>
        </is>
      </c>
      <c r="C333" t="n">
        <v>800</v>
      </c>
      <c r="D333" t="n">
        <v>4</v>
      </c>
      <c r="E333" s="424" t="n">
        <v>251.26</v>
      </c>
    </row>
    <row r="334">
      <c r="A334" t="inlineStr">
        <is>
          <t>S+ FastPlus</t>
        </is>
      </c>
      <c r="B334" t="inlineStr">
        <is>
          <t>rond</t>
        </is>
      </c>
      <c r="C334" t="n">
        <v>800</v>
      </c>
      <c r="D334" t="n">
        <v>5</v>
      </c>
      <c r="E334" s="424" t="n">
        <v>280.96</v>
      </c>
    </row>
    <row r="335">
      <c r="A335" t="inlineStr">
        <is>
          <t>S+ FastPlus</t>
        </is>
      </c>
      <c r="B335" t="inlineStr">
        <is>
          <t>rond</t>
        </is>
      </c>
      <c r="C335" t="n">
        <v>800</v>
      </c>
      <c r="D335" t="n">
        <v>6</v>
      </c>
      <c r="E335" s="424" t="n">
        <v>331.95</v>
      </c>
    </row>
    <row r="336">
      <c r="A336" t="inlineStr">
        <is>
          <t>S+ FastPlus</t>
        </is>
      </c>
      <c r="B336" t="inlineStr">
        <is>
          <t>rond</t>
        </is>
      </c>
      <c r="C336" t="n">
        <v>800</v>
      </c>
      <c r="D336" t="n">
        <v>7</v>
      </c>
      <c r="E336" s="424" t="n">
        <v>415.98</v>
      </c>
    </row>
    <row r="337">
      <c r="A337" t="inlineStr">
        <is>
          <t>S+ FastPlus</t>
        </is>
      </c>
      <c r="B337" t="inlineStr">
        <is>
          <t>rond</t>
        </is>
      </c>
      <c r="C337" t="n">
        <v>800</v>
      </c>
      <c r="D337" t="n">
        <v>8</v>
      </c>
      <c r="E337" s="424" t="n">
        <v>456.42</v>
      </c>
    </row>
    <row r="338">
      <c r="A338" t="inlineStr">
        <is>
          <t>S+ FastPlus</t>
        </is>
      </c>
      <c r="B338" t="inlineStr">
        <is>
          <t>rond</t>
        </is>
      </c>
      <c r="C338" t="n">
        <v>800</v>
      </c>
      <c r="D338" t="n">
        <v>9</v>
      </c>
      <c r="E338" s="424" t="n">
        <v>501.25</v>
      </c>
    </row>
    <row r="339">
      <c r="A339" t="inlineStr">
        <is>
          <t>S+ FastPlus</t>
        </is>
      </c>
      <c r="B339" t="inlineStr">
        <is>
          <t>rond</t>
        </is>
      </c>
      <c r="C339" t="n">
        <v>800</v>
      </c>
      <c r="D339" t="n">
        <v>10</v>
      </c>
      <c r="E339" s="424" t="n">
        <v>561.4</v>
      </c>
    </row>
    <row r="340">
      <c r="A340" t="inlineStr">
        <is>
          <t>S+ FastPlus</t>
        </is>
      </c>
      <c r="B340" t="inlineStr">
        <is>
          <t>rond</t>
        </is>
      </c>
      <c r="C340" t="n">
        <v>850</v>
      </c>
      <c r="D340" t="n">
        <v>4</v>
      </c>
      <c r="E340" s="424" t="n">
        <v>262.21</v>
      </c>
    </row>
    <row r="341">
      <c r="A341" t="inlineStr">
        <is>
          <t>S+ FastPlus</t>
        </is>
      </c>
      <c r="B341" t="inlineStr">
        <is>
          <t>rond</t>
        </is>
      </c>
      <c r="C341" t="n">
        <v>850</v>
      </c>
      <c r="D341" t="n">
        <v>5</v>
      </c>
      <c r="E341" s="424" t="n">
        <v>294.47</v>
      </c>
    </row>
    <row r="342">
      <c r="A342" t="inlineStr">
        <is>
          <t>S+ FastPlus</t>
        </is>
      </c>
      <c r="B342" t="inlineStr">
        <is>
          <t>rond</t>
        </is>
      </c>
      <c r="C342" t="n">
        <v>850</v>
      </c>
      <c r="D342" t="n">
        <v>6</v>
      </c>
      <c r="E342" s="424" t="n">
        <v>349.07</v>
      </c>
    </row>
    <row r="343">
      <c r="A343" t="inlineStr">
        <is>
          <t>S+ FastPlus</t>
        </is>
      </c>
      <c r="B343" t="inlineStr">
        <is>
          <t>rond</t>
        </is>
      </c>
      <c r="C343" t="n">
        <v>850</v>
      </c>
      <c r="D343" t="n">
        <v>7</v>
      </c>
      <c r="E343" s="424" t="n">
        <v>434.92</v>
      </c>
    </row>
    <row r="344">
      <c r="A344" t="inlineStr">
        <is>
          <t>S+ FastPlus</t>
        </is>
      </c>
      <c r="B344" t="inlineStr">
        <is>
          <t>rond</t>
        </is>
      </c>
      <c r="C344" t="n">
        <v>850</v>
      </c>
      <c r="D344" t="n">
        <v>8</v>
      </c>
      <c r="E344" s="424" t="n">
        <v>478.6</v>
      </c>
    </row>
    <row r="345">
      <c r="A345" t="inlineStr">
        <is>
          <t>S+ FastPlus</t>
        </is>
      </c>
      <c r="B345" t="inlineStr">
        <is>
          <t>rond</t>
        </is>
      </c>
      <c r="C345" t="n">
        <v>850</v>
      </c>
      <c r="D345" t="n">
        <v>9</v>
      </c>
      <c r="E345" s="424" t="n">
        <v>522.28</v>
      </c>
    </row>
    <row r="346">
      <c r="A346" t="inlineStr">
        <is>
          <t>S+ FastPlus</t>
        </is>
      </c>
      <c r="B346" t="inlineStr">
        <is>
          <t>rond</t>
        </is>
      </c>
      <c r="C346" t="n">
        <v>850</v>
      </c>
      <c r="D346" t="n">
        <v>10</v>
      </c>
      <c r="E346" s="424" t="n">
        <v>597.6799999999999</v>
      </c>
    </row>
    <row r="347">
      <c r="A347" t="inlineStr">
        <is>
          <t>S+ FastPlus</t>
        </is>
      </c>
      <c r="B347" t="inlineStr">
        <is>
          <t>rond</t>
        </is>
      </c>
      <c r="C347" t="n">
        <v>900</v>
      </c>
      <c r="D347" t="n">
        <v>5</v>
      </c>
      <c r="E347" s="424" t="n">
        <v>313.59</v>
      </c>
    </row>
    <row r="348">
      <c r="A348" t="inlineStr">
        <is>
          <t>S+ FastPlus</t>
        </is>
      </c>
      <c r="B348" t="inlineStr">
        <is>
          <t>rond</t>
        </is>
      </c>
      <c r="C348" t="n">
        <v>900</v>
      </c>
      <c r="D348" t="n">
        <v>6</v>
      </c>
      <c r="E348" s="424" t="n">
        <v>370.23</v>
      </c>
    </row>
    <row r="349">
      <c r="A349" t="inlineStr">
        <is>
          <t>S+ FastPlus</t>
        </is>
      </c>
      <c r="B349" t="inlineStr">
        <is>
          <t>rond</t>
        </is>
      </c>
      <c r="C349" t="n">
        <v>900</v>
      </c>
      <c r="D349" t="n">
        <v>7</v>
      </c>
      <c r="E349" s="424" t="n">
        <v>461.87</v>
      </c>
    </row>
    <row r="350">
      <c r="A350" t="inlineStr">
        <is>
          <t>S+ FastPlus</t>
        </is>
      </c>
      <c r="B350" t="inlineStr">
        <is>
          <t>rond</t>
        </is>
      </c>
      <c r="C350" t="n">
        <v>900</v>
      </c>
      <c r="D350" t="n">
        <v>8</v>
      </c>
      <c r="E350" s="424" t="n">
        <v>508.98</v>
      </c>
    </row>
    <row r="351">
      <c r="A351" t="inlineStr">
        <is>
          <t>S+ FastPlus</t>
        </is>
      </c>
      <c r="B351" t="inlineStr">
        <is>
          <t>rond</t>
        </is>
      </c>
      <c r="C351" t="n">
        <v>900</v>
      </c>
      <c r="D351" t="n">
        <v>9</v>
      </c>
      <c r="E351" s="424" t="n">
        <v>557.9400000000001</v>
      </c>
    </row>
    <row r="352">
      <c r="A352" t="inlineStr">
        <is>
          <t>S+ FastPlus</t>
        </is>
      </c>
      <c r="B352" t="inlineStr">
        <is>
          <t>rond</t>
        </is>
      </c>
      <c r="C352" t="n">
        <v>900</v>
      </c>
      <c r="D352" t="n">
        <v>10</v>
      </c>
      <c r="E352" s="424" t="n">
        <v>637.3</v>
      </c>
    </row>
    <row r="353">
      <c r="A353" t="inlineStr">
        <is>
          <t>S+ FastPlus</t>
        </is>
      </c>
      <c r="B353" t="inlineStr">
        <is>
          <t>rond</t>
        </is>
      </c>
      <c r="C353" t="n">
        <v>900</v>
      </c>
      <c r="D353" t="n">
        <v>11</v>
      </c>
      <c r="E353" s="424" t="n">
        <v>692.38</v>
      </c>
    </row>
    <row r="354">
      <c r="A354" t="inlineStr">
        <is>
          <t>S+ FastPlus</t>
        </is>
      </c>
      <c r="B354" t="inlineStr">
        <is>
          <t>rond</t>
        </is>
      </c>
      <c r="C354" t="n">
        <v>900</v>
      </c>
      <c r="D354" t="n">
        <v>12</v>
      </c>
      <c r="E354" s="424" t="n">
        <v>776.77</v>
      </c>
    </row>
    <row r="355">
      <c r="A355" t="inlineStr">
        <is>
          <t>S+ FastPlus</t>
        </is>
      </c>
      <c r="B355" t="inlineStr">
        <is>
          <t>rond</t>
        </is>
      </c>
      <c r="C355" t="n">
        <v>950</v>
      </c>
      <c r="D355" t="n">
        <v>5</v>
      </c>
      <c r="E355" s="424" t="n">
        <v>326.99</v>
      </c>
    </row>
    <row r="356">
      <c r="A356" t="inlineStr">
        <is>
          <t>S+ FastPlus</t>
        </is>
      </c>
      <c r="B356" t="inlineStr">
        <is>
          <t>rond</t>
        </is>
      </c>
      <c r="C356" t="n">
        <v>950</v>
      </c>
      <c r="D356" t="n">
        <v>6</v>
      </c>
      <c r="E356" s="424" t="n">
        <v>387.79</v>
      </c>
    </row>
    <row r="357">
      <c r="A357" t="inlineStr">
        <is>
          <t>S+ FastPlus</t>
        </is>
      </c>
      <c r="B357" t="inlineStr">
        <is>
          <t>rond</t>
        </is>
      </c>
      <c r="C357" t="n">
        <v>950</v>
      </c>
      <c r="D357" t="n">
        <v>7</v>
      </c>
      <c r="E357" s="424" t="n">
        <v>490.99</v>
      </c>
    </row>
    <row r="358">
      <c r="A358" t="inlineStr">
        <is>
          <t>S+ FastPlus</t>
        </is>
      </c>
      <c r="B358" t="inlineStr">
        <is>
          <t>rond</t>
        </is>
      </c>
      <c r="C358" t="n">
        <v>950</v>
      </c>
      <c r="D358" t="n">
        <v>8</v>
      </c>
      <c r="E358" s="424" t="n">
        <v>532.35</v>
      </c>
    </row>
    <row r="359">
      <c r="A359" t="inlineStr">
        <is>
          <t>S+ FastPlus</t>
        </is>
      </c>
      <c r="B359" t="inlineStr">
        <is>
          <t>rond</t>
        </is>
      </c>
      <c r="C359" t="n">
        <v>950</v>
      </c>
      <c r="D359" t="n">
        <v>9</v>
      </c>
      <c r="E359" s="424" t="n">
        <v>596.25</v>
      </c>
    </row>
    <row r="360">
      <c r="A360" t="inlineStr">
        <is>
          <t>S+ FastPlus</t>
        </is>
      </c>
      <c r="B360" t="inlineStr">
        <is>
          <t>rond</t>
        </is>
      </c>
      <c r="C360" t="n">
        <v>950</v>
      </c>
      <c r="D360" t="n">
        <v>10</v>
      </c>
      <c r="E360" s="424" t="n">
        <v>660.11</v>
      </c>
    </row>
    <row r="361">
      <c r="A361" t="inlineStr">
        <is>
          <t>S+ FastPlus</t>
        </is>
      </c>
      <c r="B361" t="inlineStr">
        <is>
          <t>rond</t>
        </is>
      </c>
      <c r="C361" t="n">
        <v>950</v>
      </c>
      <c r="D361" t="n">
        <v>11</v>
      </c>
      <c r="E361" s="424" t="n">
        <v>727.72</v>
      </c>
    </row>
    <row r="362">
      <c r="A362" t="inlineStr">
        <is>
          <t>S+ FastPlus</t>
        </is>
      </c>
      <c r="B362" t="inlineStr">
        <is>
          <t>rond</t>
        </is>
      </c>
      <c r="C362" t="n">
        <v>950</v>
      </c>
      <c r="D362" t="n">
        <v>12</v>
      </c>
      <c r="E362" s="424" t="n">
        <v>795.3</v>
      </c>
    </row>
    <row r="363">
      <c r="A363" t="inlineStr">
        <is>
          <t>S+ FastPlus</t>
        </is>
      </c>
      <c r="B363" t="inlineStr">
        <is>
          <t>rond</t>
        </is>
      </c>
      <c r="C363" t="n">
        <v>1000</v>
      </c>
      <c r="D363" t="n">
        <v>5</v>
      </c>
      <c r="E363" s="424" t="n">
        <v>335.16</v>
      </c>
    </row>
    <row r="364">
      <c r="A364" t="inlineStr">
        <is>
          <t>S+ FastPlus</t>
        </is>
      </c>
      <c r="B364" t="inlineStr">
        <is>
          <t>rond</t>
        </is>
      </c>
      <c r="C364" t="n">
        <v>1000</v>
      </c>
      <c r="D364" t="n">
        <v>6</v>
      </c>
      <c r="E364" s="424" t="n">
        <v>396.77</v>
      </c>
    </row>
    <row r="365">
      <c r="A365" t="inlineStr">
        <is>
          <t>S+ FastPlus</t>
        </is>
      </c>
      <c r="B365" t="inlineStr">
        <is>
          <t>rond</t>
        </is>
      </c>
      <c r="C365" t="n">
        <v>1000</v>
      </c>
      <c r="D365" t="n">
        <v>7</v>
      </c>
      <c r="E365" s="424" t="n">
        <v>499.01</v>
      </c>
    </row>
    <row r="366">
      <c r="A366" t="inlineStr">
        <is>
          <t>S+ FastPlus</t>
        </is>
      </c>
      <c r="B366" t="inlineStr">
        <is>
          <t>rond</t>
        </is>
      </c>
      <c r="C366" t="n">
        <v>1000</v>
      </c>
      <c r="D366" t="n">
        <v>8</v>
      </c>
      <c r="E366" s="424" t="n">
        <v>544.8</v>
      </c>
    </row>
    <row r="367">
      <c r="A367" t="inlineStr">
        <is>
          <t>S+ FastPlus</t>
        </is>
      </c>
      <c r="B367" t="inlineStr">
        <is>
          <t>rond</t>
        </is>
      </c>
      <c r="C367" t="n">
        <v>1000</v>
      </c>
      <c r="D367" t="n">
        <v>9</v>
      </c>
      <c r="E367" s="424" t="n">
        <v>597.71</v>
      </c>
    </row>
    <row r="368">
      <c r="A368" t="inlineStr">
        <is>
          <t>S+ FastPlus</t>
        </is>
      </c>
      <c r="B368" t="inlineStr">
        <is>
          <t>rond</t>
        </is>
      </c>
      <c r="C368" t="n">
        <v>1000</v>
      </c>
      <c r="D368" t="n">
        <v>10</v>
      </c>
      <c r="E368" s="424" t="n">
        <v>674.79</v>
      </c>
    </row>
    <row r="369">
      <c r="A369" t="inlineStr">
        <is>
          <t>S+ FastPlus</t>
        </is>
      </c>
      <c r="B369" t="inlineStr">
        <is>
          <t>rond</t>
        </is>
      </c>
      <c r="C369" t="n">
        <v>1000</v>
      </c>
      <c r="D369" t="n">
        <v>11</v>
      </c>
      <c r="E369" s="424" t="n">
        <v>738.9400000000001</v>
      </c>
    </row>
    <row r="370">
      <c r="A370" t="inlineStr">
        <is>
          <t>S+ FastPlus</t>
        </is>
      </c>
      <c r="B370" t="inlineStr">
        <is>
          <t>rond</t>
        </is>
      </c>
      <c r="C370" t="n">
        <v>1000</v>
      </c>
      <c r="D370" t="n">
        <v>12</v>
      </c>
      <c r="E370" s="424" t="n">
        <v>819.22</v>
      </c>
    </row>
    <row r="371">
      <c r="A371" t="inlineStr">
        <is>
          <t>S+ FastPlus</t>
        </is>
      </c>
      <c r="B371" t="inlineStr">
        <is>
          <t>rond</t>
        </is>
      </c>
      <c r="C371" t="n">
        <v>1050</v>
      </c>
      <c r="D371" t="n">
        <v>6</v>
      </c>
      <c r="E371" s="424" t="n">
        <v>457.3</v>
      </c>
    </row>
    <row r="372">
      <c r="A372" t="inlineStr">
        <is>
          <t>S+ FastPlus</t>
        </is>
      </c>
      <c r="B372" t="inlineStr">
        <is>
          <t>rond</t>
        </is>
      </c>
      <c r="C372" t="n">
        <v>1050</v>
      </c>
      <c r="D372" t="n">
        <v>7</v>
      </c>
      <c r="E372" s="424" t="n">
        <v>521.11</v>
      </c>
    </row>
    <row r="373">
      <c r="A373" t="inlineStr">
        <is>
          <t>S+ FastPlus</t>
        </is>
      </c>
      <c r="B373" t="inlineStr">
        <is>
          <t>rond</t>
        </is>
      </c>
      <c r="C373" t="n">
        <v>1050</v>
      </c>
      <c r="D373" t="n">
        <v>8</v>
      </c>
      <c r="E373" s="424" t="n">
        <v>568.47</v>
      </c>
    </row>
    <row r="374">
      <c r="A374" t="inlineStr">
        <is>
          <t>S+ FastPlus</t>
        </is>
      </c>
      <c r="B374" t="inlineStr">
        <is>
          <t>rond</t>
        </is>
      </c>
      <c r="C374" t="n">
        <v>1050</v>
      </c>
      <c r="D374" t="n">
        <v>9</v>
      </c>
      <c r="E374" s="424" t="n">
        <v>647.9400000000001</v>
      </c>
    </row>
    <row r="375">
      <c r="A375" t="inlineStr">
        <is>
          <t>S+ FastPlus</t>
        </is>
      </c>
      <c r="B375" t="inlineStr">
        <is>
          <t>rond</t>
        </is>
      </c>
      <c r="C375" t="n">
        <v>1050</v>
      </c>
      <c r="D375" t="n">
        <v>10</v>
      </c>
      <c r="E375" s="424" t="n">
        <v>733.1799999999999</v>
      </c>
    </row>
    <row r="376">
      <c r="A376" t="inlineStr">
        <is>
          <t>S+ FastPlus</t>
        </is>
      </c>
      <c r="B376" t="inlineStr">
        <is>
          <t>rond</t>
        </is>
      </c>
      <c r="C376" t="n">
        <v>1050</v>
      </c>
      <c r="D376" t="n">
        <v>11</v>
      </c>
      <c r="E376" s="424" t="n">
        <v>768.37</v>
      </c>
    </row>
    <row r="377">
      <c r="A377" t="inlineStr">
        <is>
          <t>S+ FastPlus</t>
        </is>
      </c>
      <c r="B377" t="inlineStr">
        <is>
          <t>rond</t>
        </is>
      </c>
      <c r="C377" t="n">
        <v>1050</v>
      </c>
      <c r="D377" t="n">
        <v>12</v>
      </c>
      <c r="E377" s="424" t="n">
        <v>858.29</v>
      </c>
    </row>
    <row r="378">
      <c r="A378" t="inlineStr">
        <is>
          <t>S+ FastPlus</t>
        </is>
      </c>
      <c r="B378" t="inlineStr">
        <is>
          <t>rond</t>
        </is>
      </c>
      <c r="C378" t="n">
        <v>1100</v>
      </c>
      <c r="D378" t="n">
        <v>6</v>
      </c>
      <c r="E378" s="424" t="n">
        <v>508.25</v>
      </c>
    </row>
    <row r="379">
      <c r="A379" t="inlineStr">
        <is>
          <t>S+ FastPlus</t>
        </is>
      </c>
      <c r="B379" t="inlineStr">
        <is>
          <t>rond</t>
        </is>
      </c>
      <c r="C379" t="n">
        <v>1100</v>
      </c>
      <c r="D379" t="n">
        <v>7</v>
      </c>
      <c r="E379" s="424" t="n">
        <v>575.89</v>
      </c>
    </row>
    <row r="380">
      <c r="A380" t="inlineStr">
        <is>
          <t>S+ FastPlus</t>
        </is>
      </c>
      <c r="B380" t="inlineStr">
        <is>
          <t>rond</t>
        </is>
      </c>
      <c r="C380" t="n">
        <v>1100</v>
      </c>
      <c r="D380" t="n">
        <v>8</v>
      </c>
      <c r="E380" s="424" t="n">
        <v>634.9400000000001</v>
      </c>
    </row>
    <row r="381">
      <c r="A381" t="inlineStr">
        <is>
          <t>S+ FastPlus</t>
        </is>
      </c>
      <c r="B381" t="inlineStr">
        <is>
          <t>rond</t>
        </is>
      </c>
      <c r="C381" t="n">
        <v>1100</v>
      </c>
      <c r="D381" t="n">
        <v>9</v>
      </c>
      <c r="E381" s="424" t="n">
        <v>707.16</v>
      </c>
    </row>
    <row r="382">
      <c r="A382" t="inlineStr">
        <is>
          <t>S+ FastPlus</t>
        </is>
      </c>
      <c r="B382" t="inlineStr">
        <is>
          <t>rond</t>
        </is>
      </c>
      <c r="C382" t="n">
        <v>1100</v>
      </c>
      <c r="D382" t="n">
        <v>10</v>
      </c>
      <c r="E382" s="424" t="n">
        <v>801.75</v>
      </c>
    </row>
    <row r="383">
      <c r="A383" t="inlineStr">
        <is>
          <t>S+ FastPlus</t>
        </is>
      </c>
      <c r="B383" t="inlineStr">
        <is>
          <t>rond</t>
        </is>
      </c>
      <c r="C383" t="n">
        <v>1100</v>
      </c>
      <c r="D383" t="n">
        <v>11</v>
      </c>
      <c r="E383" s="424" t="n">
        <v>853.4400000000001</v>
      </c>
    </row>
    <row r="384">
      <c r="A384" t="inlineStr">
        <is>
          <t>S+ FastPlus</t>
        </is>
      </c>
      <c r="B384" t="inlineStr">
        <is>
          <t>rond</t>
        </is>
      </c>
      <c r="C384" t="n">
        <v>1100</v>
      </c>
      <c r="D384" t="n">
        <v>12</v>
      </c>
      <c r="E384" s="424" t="n">
        <v>921.65</v>
      </c>
    </row>
    <row r="385">
      <c r="A385" t="inlineStr">
        <is>
          <t>S+ FastPlus</t>
        </is>
      </c>
      <c r="B385" t="inlineStr">
        <is>
          <t>rond</t>
        </is>
      </c>
      <c r="C385" t="n">
        <v>1150</v>
      </c>
      <c r="D385" t="n">
        <v>6</v>
      </c>
      <c r="E385" s="424" t="n">
        <v>527.53</v>
      </c>
    </row>
    <row r="386">
      <c r="A386" t="inlineStr">
        <is>
          <t>S+ FastPlus</t>
        </is>
      </c>
      <c r="B386" t="inlineStr">
        <is>
          <t>rond</t>
        </is>
      </c>
      <c r="C386" t="n">
        <v>1150</v>
      </c>
      <c r="D386" t="n">
        <v>7</v>
      </c>
      <c r="E386" s="424" t="n">
        <v>597.72</v>
      </c>
    </row>
    <row r="387">
      <c r="A387" t="inlineStr">
        <is>
          <t>S+ FastPlus</t>
        </is>
      </c>
      <c r="B387" t="inlineStr">
        <is>
          <t>rond</t>
        </is>
      </c>
      <c r="C387" t="n">
        <v>1150</v>
      </c>
      <c r="D387" t="n">
        <v>8</v>
      </c>
      <c r="E387" s="424" t="n">
        <v>649.5</v>
      </c>
    </row>
    <row r="388">
      <c r="A388" t="inlineStr">
        <is>
          <t>S+ FastPlus</t>
        </is>
      </c>
      <c r="B388" t="inlineStr">
        <is>
          <t>rond</t>
        </is>
      </c>
      <c r="C388" t="n">
        <v>1150</v>
      </c>
      <c r="D388" t="n">
        <v>9</v>
      </c>
      <c r="E388" s="424" t="n">
        <v>728.92</v>
      </c>
    </row>
    <row r="389">
      <c r="A389" t="inlineStr">
        <is>
          <t>S+ FastPlus</t>
        </is>
      </c>
      <c r="B389" t="inlineStr">
        <is>
          <t>rond</t>
        </is>
      </c>
      <c r="C389" t="n">
        <v>1150</v>
      </c>
      <c r="D389" t="n">
        <v>10</v>
      </c>
      <c r="E389" s="424" t="n">
        <v>800.48</v>
      </c>
    </row>
    <row r="390">
      <c r="A390" t="inlineStr">
        <is>
          <t>S+ FastPlus</t>
        </is>
      </c>
      <c r="B390" t="inlineStr">
        <is>
          <t>rond</t>
        </is>
      </c>
      <c r="C390" t="n">
        <v>1150</v>
      </c>
      <c r="D390" t="n">
        <v>11</v>
      </c>
      <c r="E390" s="424" t="n">
        <v>883.6799999999999</v>
      </c>
    </row>
    <row r="391">
      <c r="A391" t="inlineStr">
        <is>
          <t>S+ FastPlus</t>
        </is>
      </c>
      <c r="B391" t="inlineStr">
        <is>
          <t>rond</t>
        </is>
      </c>
      <c r="C391" t="n">
        <v>1150</v>
      </c>
      <c r="D391" t="n">
        <v>12</v>
      </c>
      <c r="E391" s="424" t="n">
        <v>985.98</v>
      </c>
    </row>
    <row r="392">
      <c r="A392" t="inlineStr">
        <is>
          <t>S+ FastPlus</t>
        </is>
      </c>
      <c r="B392" t="inlineStr">
        <is>
          <t>rond</t>
        </is>
      </c>
      <c r="C392" t="n">
        <v>1200</v>
      </c>
      <c r="D392" t="n">
        <v>6</v>
      </c>
      <c r="E392" s="424" t="n">
        <v>529.39</v>
      </c>
    </row>
    <row r="393">
      <c r="A393" t="inlineStr">
        <is>
          <t>S+ FastPlus</t>
        </is>
      </c>
      <c r="B393" t="inlineStr">
        <is>
          <t>rond</t>
        </is>
      </c>
      <c r="C393" t="n">
        <v>1200</v>
      </c>
      <c r="D393" t="n">
        <v>7</v>
      </c>
      <c r="E393" s="424" t="n">
        <v>599.78</v>
      </c>
    </row>
    <row r="394">
      <c r="A394" t="inlineStr">
        <is>
          <t>S+ FastPlus</t>
        </is>
      </c>
      <c r="B394" t="inlineStr">
        <is>
          <t>rond</t>
        </is>
      </c>
      <c r="C394" t="n">
        <v>1200</v>
      </c>
      <c r="D394" t="n">
        <v>8</v>
      </c>
      <c r="E394" s="424" t="n">
        <v>654.04</v>
      </c>
    </row>
    <row r="395">
      <c r="A395" t="inlineStr">
        <is>
          <t>S+ FastPlus</t>
        </is>
      </c>
      <c r="B395" t="inlineStr">
        <is>
          <t>rond</t>
        </is>
      </c>
      <c r="C395" t="n">
        <v>1200</v>
      </c>
      <c r="D395" t="n">
        <v>9</v>
      </c>
      <c r="E395" s="424" t="n">
        <v>726.77</v>
      </c>
    </row>
    <row r="396">
      <c r="A396" t="inlineStr">
        <is>
          <t>S+ FastPlus</t>
        </is>
      </c>
      <c r="B396" t="inlineStr">
        <is>
          <t>rond</t>
        </is>
      </c>
      <c r="C396" t="n">
        <v>1200</v>
      </c>
      <c r="D396" t="n">
        <v>10</v>
      </c>
      <c r="E396" s="424" t="n">
        <v>824.9400000000001</v>
      </c>
    </row>
    <row r="397">
      <c r="A397" t="inlineStr">
        <is>
          <t>S+ FastPlus</t>
        </is>
      </c>
      <c r="B397" t="inlineStr">
        <is>
          <t>rond</t>
        </is>
      </c>
      <c r="C397" t="n">
        <v>1200</v>
      </c>
      <c r="D397" t="n">
        <v>11</v>
      </c>
      <c r="E397" s="424" t="n">
        <v>884.8099999999999</v>
      </c>
    </row>
    <row r="398">
      <c r="A398" t="inlineStr">
        <is>
          <t>S+ FastPlus</t>
        </is>
      </c>
      <c r="B398" t="inlineStr">
        <is>
          <t>rond</t>
        </is>
      </c>
      <c r="C398" t="n">
        <v>1200</v>
      </c>
      <c r="D398" t="n">
        <v>12</v>
      </c>
      <c r="E398" s="424" t="n">
        <v>1016.85</v>
      </c>
    </row>
    <row r="399">
      <c r="A399" t="inlineStr">
        <is>
          <t>S+ FastPlus</t>
        </is>
      </c>
      <c r="B399" t="inlineStr">
        <is>
          <t>rond</t>
        </is>
      </c>
      <c r="C399" t="n">
        <v>1250</v>
      </c>
      <c r="D399" t="n">
        <v>7</v>
      </c>
      <c r="E399" s="424" t="n">
        <v>620.52</v>
      </c>
    </row>
    <row r="400">
      <c r="A400" t="inlineStr">
        <is>
          <t>S+ FastPlus</t>
        </is>
      </c>
      <c r="B400" t="inlineStr">
        <is>
          <t>rond</t>
        </is>
      </c>
      <c r="C400" t="n">
        <v>1250</v>
      </c>
      <c r="D400" t="n">
        <v>8</v>
      </c>
      <c r="E400" s="424" t="n">
        <v>679.1900000000001</v>
      </c>
    </row>
    <row r="401">
      <c r="A401" t="inlineStr">
        <is>
          <t>S+ FastPlus</t>
        </is>
      </c>
      <c r="B401" t="inlineStr">
        <is>
          <t>rond</t>
        </is>
      </c>
      <c r="C401" t="n">
        <v>1250</v>
      </c>
      <c r="D401" t="n">
        <v>9</v>
      </c>
      <c r="E401" s="424" t="n">
        <v>746.1</v>
      </c>
    </row>
    <row r="402">
      <c r="A402" t="inlineStr">
        <is>
          <t>S+ FastPlus</t>
        </is>
      </c>
      <c r="B402" t="inlineStr">
        <is>
          <t>rond</t>
        </is>
      </c>
      <c r="C402" t="n">
        <v>1250</v>
      </c>
      <c r="D402" t="n">
        <v>10</v>
      </c>
      <c r="E402" s="424" t="n">
        <v>846.58</v>
      </c>
    </row>
    <row r="403">
      <c r="A403" t="inlineStr">
        <is>
          <t>S+ FastPlus</t>
        </is>
      </c>
      <c r="B403" t="inlineStr">
        <is>
          <t>rond</t>
        </is>
      </c>
      <c r="C403" t="n">
        <v>1250</v>
      </c>
      <c r="D403" t="n">
        <v>11</v>
      </c>
      <c r="E403" s="424" t="n">
        <v>913.73</v>
      </c>
    </row>
    <row r="404">
      <c r="A404" t="inlineStr">
        <is>
          <t>S+ FastPlus</t>
        </is>
      </c>
      <c r="B404" t="inlineStr">
        <is>
          <t>rond</t>
        </is>
      </c>
      <c r="C404" t="n">
        <v>1250</v>
      </c>
      <c r="D404" t="n">
        <v>12</v>
      </c>
      <c r="E404" s="424" t="n">
        <v>1030.95</v>
      </c>
    </row>
    <row r="405">
      <c r="A405" t="inlineStr">
        <is>
          <t>S+ FastPlus</t>
        </is>
      </c>
      <c r="B405" t="inlineStr">
        <is>
          <t>rond</t>
        </is>
      </c>
      <c r="C405" t="n">
        <v>1300</v>
      </c>
      <c r="D405" t="n">
        <v>7</v>
      </c>
      <c r="E405" s="424" t="n">
        <v>704.51</v>
      </c>
    </row>
    <row r="406">
      <c r="A406" t="inlineStr">
        <is>
          <t>S+ FastPlus</t>
        </is>
      </c>
      <c r="B406" t="inlineStr">
        <is>
          <t>rond</t>
        </is>
      </c>
      <c r="C406" t="n">
        <v>1300</v>
      </c>
      <c r="D406" t="n">
        <v>8</v>
      </c>
      <c r="E406" s="424" t="n">
        <v>775.8099999999999</v>
      </c>
    </row>
    <row r="407">
      <c r="A407" t="inlineStr">
        <is>
          <t>S+ FastPlus</t>
        </is>
      </c>
      <c r="B407" t="inlineStr">
        <is>
          <t>rond</t>
        </is>
      </c>
      <c r="C407" t="n">
        <v>1300</v>
      </c>
      <c r="D407" t="n">
        <v>9</v>
      </c>
      <c r="E407" s="424" t="n">
        <v>852.26</v>
      </c>
    </row>
    <row r="408">
      <c r="A408" t="inlineStr">
        <is>
          <t>S+ FastPlus</t>
        </is>
      </c>
      <c r="B408" t="inlineStr">
        <is>
          <t>rond</t>
        </is>
      </c>
      <c r="C408" t="n">
        <v>1300</v>
      </c>
      <c r="D408" t="n">
        <v>10</v>
      </c>
      <c r="E408" s="424" t="n">
        <v>953.9</v>
      </c>
    </row>
    <row r="409">
      <c r="A409" t="inlineStr">
        <is>
          <t>S+ FastPlus</t>
        </is>
      </c>
      <c r="B409" t="inlineStr">
        <is>
          <t>rond</t>
        </is>
      </c>
      <c r="C409" t="n">
        <v>1300</v>
      </c>
      <c r="D409" t="n">
        <v>11</v>
      </c>
      <c r="E409" s="424" t="n">
        <v>1036.92</v>
      </c>
    </row>
    <row r="410">
      <c r="A410" t="inlineStr">
        <is>
          <t>S+ FastPlus</t>
        </is>
      </c>
      <c r="B410" t="inlineStr">
        <is>
          <t>rond</t>
        </is>
      </c>
      <c r="C410" t="n">
        <v>1300</v>
      </c>
      <c r="D410" t="n">
        <v>12</v>
      </c>
      <c r="E410" s="424" t="n">
        <v>1149.2</v>
      </c>
    </row>
    <row r="411">
      <c r="A411" t="inlineStr">
        <is>
          <t>S+ FastPlus</t>
        </is>
      </c>
      <c r="B411" t="inlineStr">
        <is>
          <t>rond</t>
        </is>
      </c>
      <c r="C411" t="n">
        <v>1350</v>
      </c>
      <c r="D411" t="n">
        <v>7</v>
      </c>
      <c r="E411" s="424" t="n">
        <v>725.15</v>
      </c>
    </row>
    <row r="412">
      <c r="A412" t="inlineStr">
        <is>
          <t>S+ FastPlus</t>
        </is>
      </c>
      <c r="B412" t="inlineStr">
        <is>
          <t>rond</t>
        </is>
      </c>
      <c r="C412" t="n">
        <v>1350</v>
      </c>
      <c r="D412" t="n">
        <v>8</v>
      </c>
      <c r="E412" s="424" t="n">
        <v>795.75</v>
      </c>
    </row>
    <row r="413">
      <c r="A413" t="inlineStr">
        <is>
          <t>S+ FastPlus</t>
        </is>
      </c>
      <c r="B413" t="inlineStr">
        <is>
          <t>rond</t>
        </is>
      </c>
      <c r="C413" t="n">
        <v>1350</v>
      </c>
      <c r="D413" t="n">
        <v>9</v>
      </c>
      <c r="E413" s="424" t="n">
        <v>867.41</v>
      </c>
    </row>
    <row r="414">
      <c r="A414" t="inlineStr">
        <is>
          <t>S+ FastPlus</t>
        </is>
      </c>
      <c r="B414" t="inlineStr">
        <is>
          <t>rond</t>
        </is>
      </c>
      <c r="C414" t="n">
        <v>1350</v>
      </c>
      <c r="D414" t="n">
        <v>10</v>
      </c>
      <c r="E414" s="424" t="n">
        <v>983.66</v>
      </c>
    </row>
    <row r="415">
      <c r="A415" t="inlineStr">
        <is>
          <t>S+ FastPlus</t>
        </is>
      </c>
      <c r="B415" t="inlineStr">
        <is>
          <t>rond</t>
        </is>
      </c>
      <c r="C415" t="n">
        <v>1350</v>
      </c>
      <c r="D415" t="n">
        <v>11</v>
      </c>
      <c r="E415" s="424" t="n">
        <v>1072.02</v>
      </c>
    </row>
    <row r="416">
      <c r="A416" t="inlineStr">
        <is>
          <t>S+ FastPlus</t>
        </is>
      </c>
      <c r="B416" t="inlineStr">
        <is>
          <t>rond</t>
        </is>
      </c>
      <c r="C416" t="n">
        <v>1350</v>
      </c>
      <c r="D416" t="n">
        <v>12</v>
      </c>
      <c r="E416" s="424" t="n">
        <v>1160.36</v>
      </c>
    </row>
    <row r="417">
      <c r="A417" t="inlineStr">
        <is>
          <t>S+ FastPlus</t>
        </is>
      </c>
      <c r="B417" t="inlineStr">
        <is>
          <t>rond</t>
        </is>
      </c>
      <c r="C417" t="n">
        <v>1400</v>
      </c>
      <c r="D417" t="n">
        <v>7</v>
      </c>
      <c r="E417" s="424" t="n">
        <v>793.21</v>
      </c>
    </row>
    <row r="418">
      <c r="A418" t="inlineStr">
        <is>
          <t>S+ FastPlus</t>
        </is>
      </c>
      <c r="B418" t="inlineStr">
        <is>
          <t>rond</t>
        </is>
      </c>
      <c r="C418" t="n">
        <v>1400</v>
      </c>
      <c r="D418" t="n">
        <v>8</v>
      </c>
      <c r="E418" s="424" t="n">
        <v>838.8200000000001</v>
      </c>
    </row>
    <row r="419">
      <c r="A419" t="inlineStr">
        <is>
          <t>S+ FastPlus</t>
        </is>
      </c>
      <c r="B419" t="inlineStr">
        <is>
          <t>rond</t>
        </is>
      </c>
      <c r="C419" t="n">
        <v>1400</v>
      </c>
      <c r="D419" t="n">
        <v>9</v>
      </c>
      <c r="E419" s="424" t="n">
        <v>956.55</v>
      </c>
    </row>
    <row r="420">
      <c r="A420" t="inlineStr">
        <is>
          <t>S+ FastPlus</t>
        </is>
      </c>
      <c r="B420" t="inlineStr">
        <is>
          <t>rond</t>
        </is>
      </c>
      <c r="C420" t="n">
        <v>1400</v>
      </c>
      <c r="D420" t="n">
        <v>10</v>
      </c>
      <c r="E420" s="424" t="n">
        <v>1068.43</v>
      </c>
    </row>
    <row r="421">
      <c r="A421" t="inlineStr">
        <is>
          <t>S+ FastPlus</t>
        </is>
      </c>
      <c r="B421" t="inlineStr">
        <is>
          <t>rond</t>
        </is>
      </c>
      <c r="C421" t="n">
        <v>1400</v>
      </c>
      <c r="D421" t="n">
        <v>11</v>
      </c>
      <c r="E421" s="424" t="n">
        <v>1101.3</v>
      </c>
    </row>
    <row r="422">
      <c r="A422" t="inlineStr">
        <is>
          <t>S+ FastPlus</t>
        </is>
      </c>
      <c r="B422" t="inlineStr">
        <is>
          <t>rond</t>
        </is>
      </c>
      <c r="C422" t="n">
        <v>1400</v>
      </c>
      <c r="D422" t="n">
        <v>12</v>
      </c>
      <c r="E422" s="424" t="n">
        <v>1256.54</v>
      </c>
    </row>
    <row r="423">
      <c r="A423" t="inlineStr">
        <is>
          <t>S+ FastPlus</t>
        </is>
      </c>
      <c r="B423" t="inlineStr">
        <is>
          <t>rond</t>
        </is>
      </c>
      <c r="C423" t="n">
        <v>1450</v>
      </c>
      <c r="D423" t="n">
        <v>8</v>
      </c>
      <c r="E423" s="424" t="n">
        <v>843.77</v>
      </c>
    </row>
    <row r="424">
      <c r="A424" t="inlineStr">
        <is>
          <t>S+ FastPlus</t>
        </is>
      </c>
      <c r="B424" t="inlineStr">
        <is>
          <t>rond</t>
        </is>
      </c>
      <c r="C424" t="n">
        <v>1450</v>
      </c>
      <c r="D424" t="n">
        <v>9</v>
      </c>
      <c r="E424" s="424" t="n">
        <v>960.39</v>
      </c>
    </row>
    <row r="425">
      <c r="A425" t="inlineStr">
        <is>
          <t>S+ FastPlus</t>
        </is>
      </c>
      <c r="B425" t="inlineStr">
        <is>
          <t>rond</t>
        </is>
      </c>
      <c r="C425" t="n">
        <v>1450</v>
      </c>
      <c r="D425" t="n">
        <v>10</v>
      </c>
      <c r="E425" s="424" t="n">
        <v>1071.02</v>
      </c>
    </row>
    <row r="426">
      <c r="A426" t="inlineStr">
        <is>
          <t>S+ FastPlus</t>
        </is>
      </c>
      <c r="B426" t="inlineStr">
        <is>
          <t>rond</t>
        </is>
      </c>
      <c r="C426" t="n">
        <v>1450</v>
      </c>
      <c r="D426" t="n">
        <v>11</v>
      </c>
      <c r="E426" s="424" t="n">
        <v>1134.49</v>
      </c>
    </row>
    <row r="427">
      <c r="A427" t="inlineStr">
        <is>
          <t>S+ FastPlus</t>
        </is>
      </c>
      <c r="B427" t="inlineStr">
        <is>
          <t>rond</t>
        </is>
      </c>
      <c r="C427" t="n">
        <v>1450</v>
      </c>
      <c r="D427" t="n">
        <v>12</v>
      </c>
      <c r="E427" s="424" t="n">
        <v>1288.41</v>
      </c>
    </row>
    <row r="428">
      <c r="A428" t="inlineStr">
        <is>
          <t>S+ FastPlus</t>
        </is>
      </c>
      <c r="B428" t="inlineStr">
        <is>
          <t>rond</t>
        </is>
      </c>
      <c r="C428" t="n">
        <v>1500</v>
      </c>
      <c r="D428" t="n">
        <v>8</v>
      </c>
      <c r="E428" s="424" t="n">
        <v>923.25</v>
      </c>
    </row>
    <row r="429">
      <c r="A429" t="inlineStr">
        <is>
          <t>S+ FastPlus</t>
        </is>
      </c>
      <c r="B429" t="inlineStr">
        <is>
          <t>rond</t>
        </is>
      </c>
      <c r="C429" t="n">
        <v>1500</v>
      </c>
      <c r="D429" t="n">
        <v>9</v>
      </c>
      <c r="E429" s="424" t="n">
        <v>1024.84</v>
      </c>
    </row>
    <row r="430">
      <c r="A430" t="inlineStr">
        <is>
          <t>S+ FastPlus</t>
        </is>
      </c>
      <c r="B430" t="inlineStr">
        <is>
          <t>rond</t>
        </is>
      </c>
      <c r="C430" t="n">
        <v>1500</v>
      </c>
      <c r="D430" t="n">
        <v>10</v>
      </c>
      <c r="E430" s="424" t="n">
        <v>1141.1</v>
      </c>
    </row>
    <row r="431">
      <c r="A431" t="inlineStr">
        <is>
          <t>S+ FastPlus</t>
        </is>
      </c>
      <c r="B431" t="inlineStr">
        <is>
          <t>rond</t>
        </is>
      </c>
      <c r="C431" t="n">
        <v>1500</v>
      </c>
      <c r="D431" t="n">
        <v>11</v>
      </c>
      <c r="E431" s="424" t="n">
        <v>1241.03</v>
      </c>
    </row>
    <row r="432">
      <c r="A432" t="inlineStr">
        <is>
          <t>S+ FastPlus</t>
        </is>
      </c>
      <c r="B432" t="inlineStr">
        <is>
          <t>rond</t>
        </is>
      </c>
      <c r="C432" t="n">
        <v>1500</v>
      </c>
      <c r="D432" t="n">
        <v>12</v>
      </c>
      <c r="E432" s="424" t="n">
        <v>1403.27</v>
      </c>
    </row>
    <row r="433">
      <c r="A433" t="inlineStr">
        <is>
          <t>S+ FastPlus</t>
        </is>
      </c>
      <c r="B433" t="inlineStr">
        <is>
          <t>ei</t>
        </is>
      </c>
      <c r="C433" t="inlineStr">
        <is>
          <t>200/300</t>
        </is>
      </c>
      <c r="D433" t="n">
        <v>3</v>
      </c>
      <c r="E433" s="424" t="n">
        <v>84.76000000000001</v>
      </c>
    </row>
    <row r="434">
      <c r="A434" t="inlineStr">
        <is>
          <t>S+ FastPlus</t>
        </is>
      </c>
      <c r="B434" t="inlineStr">
        <is>
          <t>ei</t>
        </is>
      </c>
      <c r="C434" t="inlineStr">
        <is>
          <t>200/300</t>
        </is>
      </c>
      <c r="D434" t="n">
        <v>4</v>
      </c>
      <c r="E434" s="424" t="n">
        <v>89.14</v>
      </c>
    </row>
    <row r="435">
      <c r="A435" t="inlineStr">
        <is>
          <t>S+ FastPlus</t>
        </is>
      </c>
      <c r="B435" t="inlineStr">
        <is>
          <t>ei</t>
        </is>
      </c>
      <c r="C435" t="inlineStr">
        <is>
          <t>200/300</t>
        </is>
      </c>
      <c r="D435" t="n">
        <v>5</v>
      </c>
      <c r="E435" s="424" t="n">
        <v>98.40000000000001</v>
      </c>
    </row>
    <row r="436">
      <c r="A436" t="inlineStr">
        <is>
          <t>S+ FastPlus</t>
        </is>
      </c>
      <c r="B436" t="inlineStr">
        <is>
          <t>ei</t>
        </is>
      </c>
      <c r="C436" t="inlineStr">
        <is>
          <t>200/300</t>
        </is>
      </c>
      <c r="D436" t="n">
        <v>6</v>
      </c>
      <c r="E436" s="424" t="n">
        <v>119.94</v>
      </c>
    </row>
    <row r="437">
      <c r="A437" t="inlineStr">
        <is>
          <t>S+ FastPlus</t>
        </is>
      </c>
      <c r="B437" t="inlineStr">
        <is>
          <t>ei</t>
        </is>
      </c>
      <c r="C437" t="inlineStr">
        <is>
          <t>250/375</t>
        </is>
      </c>
      <c r="D437" t="n">
        <v>3</v>
      </c>
      <c r="E437" s="424" t="n">
        <v>99.11</v>
      </c>
    </row>
    <row r="438">
      <c r="A438" t="inlineStr">
        <is>
          <t>S+ FastPlus</t>
        </is>
      </c>
      <c r="B438" t="inlineStr">
        <is>
          <t>ei</t>
        </is>
      </c>
      <c r="C438" t="inlineStr">
        <is>
          <t>250/375</t>
        </is>
      </c>
      <c r="D438" t="n">
        <v>4</v>
      </c>
      <c r="E438" s="424" t="n">
        <v>107.28</v>
      </c>
    </row>
    <row r="439">
      <c r="A439" t="inlineStr">
        <is>
          <t>S+ FastPlus</t>
        </is>
      </c>
      <c r="B439" t="inlineStr">
        <is>
          <t>ei</t>
        </is>
      </c>
      <c r="C439" t="inlineStr">
        <is>
          <t>250/375</t>
        </is>
      </c>
      <c r="D439" t="n">
        <v>5</v>
      </c>
      <c r="E439" s="424" t="n">
        <v>118.9</v>
      </c>
    </row>
    <row r="440">
      <c r="A440" t="inlineStr">
        <is>
          <t>S+ FastPlus</t>
        </is>
      </c>
      <c r="B440" t="inlineStr">
        <is>
          <t>ei</t>
        </is>
      </c>
      <c r="C440" t="inlineStr">
        <is>
          <t>250/375</t>
        </is>
      </c>
      <c r="D440" t="n">
        <v>6</v>
      </c>
      <c r="E440" s="424" t="n">
        <v>146.97</v>
      </c>
    </row>
    <row r="441">
      <c r="A441" t="inlineStr">
        <is>
          <t>S+ FastPlus</t>
        </is>
      </c>
      <c r="B441" t="inlineStr">
        <is>
          <t>ei</t>
        </is>
      </c>
      <c r="C441" t="inlineStr">
        <is>
          <t>300/450</t>
        </is>
      </c>
      <c r="D441" t="n">
        <v>3</v>
      </c>
      <c r="E441" s="424" t="n">
        <v>115.21</v>
      </c>
    </row>
    <row r="442">
      <c r="A442" t="inlineStr">
        <is>
          <t>S+ FastPlus</t>
        </is>
      </c>
      <c r="B442" t="inlineStr">
        <is>
          <t>ei</t>
        </is>
      </c>
      <c r="C442" t="inlineStr">
        <is>
          <t>300/450</t>
        </is>
      </c>
      <c r="D442" t="n">
        <v>4</v>
      </c>
      <c r="E442" s="424" t="n">
        <v>126.62</v>
      </c>
    </row>
    <row r="443">
      <c r="A443" t="inlineStr">
        <is>
          <t>S+ FastPlus</t>
        </is>
      </c>
      <c r="B443" t="inlineStr">
        <is>
          <t>ei</t>
        </is>
      </c>
      <c r="C443" t="inlineStr">
        <is>
          <t>300/450</t>
        </is>
      </c>
      <c r="D443" t="n">
        <v>5</v>
      </c>
      <c r="E443" s="424" t="n">
        <v>139.72</v>
      </c>
    </row>
    <row r="444">
      <c r="A444" t="inlineStr">
        <is>
          <t>S+ FastPlus</t>
        </is>
      </c>
      <c r="B444" t="inlineStr">
        <is>
          <t>ei</t>
        </is>
      </c>
      <c r="C444" t="inlineStr">
        <is>
          <t>300/450</t>
        </is>
      </c>
      <c r="D444" t="n">
        <v>6</v>
      </c>
      <c r="E444" s="424" t="n">
        <v>169.43</v>
      </c>
    </row>
    <row r="445">
      <c r="A445" t="inlineStr">
        <is>
          <t>S+ FastPlus</t>
        </is>
      </c>
      <c r="B445" t="inlineStr">
        <is>
          <t>ei</t>
        </is>
      </c>
      <c r="C445" t="inlineStr">
        <is>
          <t>350/525</t>
        </is>
      </c>
      <c r="D445" t="n">
        <v>4</v>
      </c>
      <c r="E445" s="424" t="n">
        <v>138.52</v>
      </c>
    </row>
    <row r="446">
      <c r="A446" t="inlineStr">
        <is>
          <t>S+ FastPlus</t>
        </is>
      </c>
      <c r="B446" t="inlineStr">
        <is>
          <t>ei</t>
        </is>
      </c>
      <c r="C446" t="inlineStr">
        <is>
          <t>350/525</t>
        </is>
      </c>
      <c r="D446" t="n">
        <v>5</v>
      </c>
      <c r="E446" s="424" t="n">
        <v>159.31</v>
      </c>
    </row>
    <row r="447">
      <c r="A447" t="inlineStr">
        <is>
          <t>S+ FastPlus</t>
        </is>
      </c>
      <c r="B447" t="inlineStr">
        <is>
          <t>ei</t>
        </is>
      </c>
      <c r="C447" t="inlineStr">
        <is>
          <t>350/525</t>
        </is>
      </c>
      <c r="D447" t="n">
        <v>6</v>
      </c>
      <c r="E447" s="424" t="n">
        <v>190.16</v>
      </c>
    </row>
    <row r="448">
      <c r="A448" t="inlineStr">
        <is>
          <t>S+ FastPlus</t>
        </is>
      </c>
      <c r="B448" t="inlineStr">
        <is>
          <t>ei</t>
        </is>
      </c>
      <c r="C448" t="inlineStr">
        <is>
          <t>350/525</t>
        </is>
      </c>
      <c r="D448" t="n">
        <v>7</v>
      </c>
      <c r="E448" s="424" t="n">
        <v>242.14</v>
      </c>
    </row>
    <row r="449">
      <c r="A449" t="inlineStr">
        <is>
          <t>S+ FastPlus</t>
        </is>
      </c>
      <c r="B449" t="inlineStr">
        <is>
          <t>ei</t>
        </is>
      </c>
      <c r="C449" t="inlineStr">
        <is>
          <t>400/600</t>
        </is>
      </c>
      <c r="D449" t="n">
        <v>4</v>
      </c>
      <c r="E449" s="424" t="n">
        <v>160.92</v>
      </c>
    </row>
    <row r="450">
      <c r="A450" t="inlineStr">
        <is>
          <t>S+ FastPlus</t>
        </is>
      </c>
      <c r="B450" t="inlineStr">
        <is>
          <t>ei</t>
        </is>
      </c>
      <c r="C450" t="inlineStr">
        <is>
          <t>400/600</t>
        </is>
      </c>
      <c r="D450" t="n">
        <v>5</v>
      </c>
      <c r="E450" s="424" t="n">
        <v>178.1</v>
      </c>
    </row>
    <row r="451">
      <c r="A451" t="inlineStr">
        <is>
          <t>S+ FastPlus</t>
        </is>
      </c>
      <c r="B451" t="inlineStr">
        <is>
          <t>ei</t>
        </is>
      </c>
      <c r="C451" t="inlineStr">
        <is>
          <t>400/600</t>
        </is>
      </c>
      <c r="D451" t="n">
        <v>6</v>
      </c>
      <c r="E451" s="424" t="n">
        <v>215.23</v>
      </c>
    </row>
    <row r="452">
      <c r="A452" t="inlineStr">
        <is>
          <t>S+ FastPlus</t>
        </is>
      </c>
      <c r="B452" t="inlineStr">
        <is>
          <t>ei</t>
        </is>
      </c>
      <c r="C452" t="inlineStr">
        <is>
          <t>400/600</t>
        </is>
      </c>
      <c r="D452" t="n">
        <v>7</v>
      </c>
      <c r="E452" s="424" t="n">
        <v>267.63</v>
      </c>
    </row>
    <row r="453">
      <c r="A453" t="inlineStr">
        <is>
          <t>S+ FastPlus</t>
        </is>
      </c>
      <c r="B453" t="inlineStr">
        <is>
          <t>ei</t>
        </is>
      </c>
      <c r="C453" t="inlineStr">
        <is>
          <t>500/750</t>
        </is>
      </c>
      <c r="D453" t="n">
        <v>5</v>
      </c>
      <c r="E453" s="424" t="n">
        <v>210.41</v>
      </c>
    </row>
    <row r="454">
      <c r="A454" t="inlineStr">
        <is>
          <t>S+ FastPlus</t>
        </is>
      </c>
      <c r="B454" t="inlineStr">
        <is>
          <t>ei</t>
        </is>
      </c>
      <c r="C454" t="inlineStr">
        <is>
          <t>500/750</t>
        </is>
      </c>
      <c r="D454" t="n">
        <v>6</v>
      </c>
      <c r="E454" s="424" t="n">
        <v>252.73</v>
      </c>
    </row>
    <row r="455">
      <c r="A455" t="inlineStr">
        <is>
          <t>S+ FastPlus</t>
        </is>
      </c>
      <c r="B455" t="inlineStr">
        <is>
          <t>ei</t>
        </is>
      </c>
      <c r="C455" t="inlineStr">
        <is>
          <t>500/750</t>
        </is>
      </c>
      <c r="D455" t="n">
        <v>7</v>
      </c>
      <c r="E455" s="424" t="n">
        <v>317.72</v>
      </c>
    </row>
    <row r="456">
      <c r="A456" t="inlineStr">
        <is>
          <t>S+ FastPlus</t>
        </is>
      </c>
      <c r="B456" t="inlineStr">
        <is>
          <t>ei</t>
        </is>
      </c>
      <c r="C456" t="inlineStr">
        <is>
          <t>500/750</t>
        </is>
      </c>
      <c r="D456" t="n">
        <v>8</v>
      </c>
      <c r="E456" s="424" t="n">
        <v>351.01</v>
      </c>
    </row>
    <row r="457">
      <c r="A457" t="inlineStr">
        <is>
          <t>S+ FastPlus</t>
        </is>
      </c>
      <c r="B457" t="inlineStr">
        <is>
          <t>ei</t>
        </is>
      </c>
      <c r="C457" t="inlineStr">
        <is>
          <t>500/750</t>
        </is>
      </c>
      <c r="D457" t="n">
        <v>9</v>
      </c>
      <c r="E457" s="424" t="n">
        <v>384.29</v>
      </c>
    </row>
    <row r="458">
      <c r="A458" t="inlineStr">
        <is>
          <t>S+ FastPlus</t>
        </is>
      </c>
      <c r="B458" t="inlineStr">
        <is>
          <t>ei</t>
        </is>
      </c>
      <c r="C458" t="inlineStr">
        <is>
          <t>600/900</t>
        </is>
      </c>
      <c r="D458" t="n">
        <v>6</v>
      </c>
      <c r="E458" s="424" t="n">
        <v>307.05</v>
      </c>
    </row>
    <row r="459">
      <c r="A459" t="inlineStr">
        <is>
          <t>S+ FastPlus</t>
        </is>
      </c>
      <c r="B459" t="inlineStr">
        <is>
          <t>ei</t>
        </is>
      </c>
      <c r="C459" t="inlineStr">
        <is>
          <t>600/900</t>
        </is>
      </c>
      <c r="D459" t="n">
        <v>7</v>
      </c>
      <c r="E459" s="424" t="n">
        <v>384.35</v>
      </c>
    </row>
    <row r="460">
      <c r="A460" t="inlineStr">
        <is>
          <t>S+ FastPlus</t>
        </is>
      </c>
      <c r="B460" t="inlineStr">
        <is>
          <t>ei</t>
        </is>
      </c>
      <c r="C460" t="inlineStr">
        <is>
          <t>600/900</t>
        </is>
      </c>
      <c r="D460" t="n">
        <v>8</v>
      </c>
      <c r="E460" s="424" t="n">
        <v>422.08</v>
      </c>
    </row>
    <row r="461">
      <c r="A461" t="inlineStr">
        <is>
          <t>S+ FastPlus</t>
        </is>
      </c>
      <c r="B461" t="inlineStr">
        <is>
          <t>ei</t>
        </is>
      </c>
      <c r="C461" t="inlineStr">
        <is>
          <t>600/900</t>
        </is>
      </c>
      <c r="D461" t="n">
        <v>9</v>
      </c>
      <c r="E461" s="424" t="n">
        <v>463.07</v>
      </c>
    </row>
    <row r="462">
      <c r="A462" t="inlineStr">
        <is>
          <t>S+ FastPlus</t>
        </is>
      </c>
      <c r="B462" t="inlineStr">
        <is>
          <t>ei</t>
        </is>
      </c>
      <c r="C462" t="inlineStr">
        <is>
          <t>700/1050</t>
        </is>
      </c>
      <c r="D462" t="n">
        <v>6</v>
      </c>
      <c r="E462" s="424" t="n">
        <v>363.23</v>
      </c>
    </row>
    <row r="463">
      <c r="A463" t="inlineStr">
        <is>
          <t>S+ FastPlus</t>
        </is>
      </c>
      <c r="B463" t="inlineStr">
        <is>
          <t>ei</t>
        </is>
      </c>
      <c r="C463" t="inlineStr">
        <is>
          <t>700/1050</t>
        </is>
      </c>
      <c r="D463" t="n">
        <v>7</v>
      </c>
      <c r="E463" s="424" t="n">
        <v>448.4</v>
      </c>
    </row>
    <row r="464">
      <c r="A464" t="inlineStr">
        <is>
          <t>S+ FastPlus</t>
        </is>
      </c>
      <c r="B464" t="inlineStr">
        <is>
          <t>ei</t>
        </is>
      </c>
      <c r="C464" t="inlineStr">
        <is>
          <t>700/1050</t>
        </is>
      </c>
      <c r="D464" t="n">
        <v>8</v>
      </c>
      <c r="E464" s="424" t="n">
        <v>494.27</v>
      </c>
    </row>
    <row r="465">
      <c r="A465" t="inlineStr">
        <is>
          <t>S+ FastPlus</t>
        </is>
      </c>
      <c r="B465" t="inlineStr">
        <is>
          <t>ei</t>
        </is>
      </c>
      <c r="C465" t="inlineStr">
        <is>
          <t>700/1050</t>
        </is>
      </c>
      <c r="D465" t="n">
        <v>9</v>
      </c>
      <c r="E465" s="424" t="n">
        <v>542.61</v>
      </c>
    </row>
    <row r="466">
      <c r="A466" t="inlineStr">
        <is>
          <t>S+ FastPlus</t>
        </is>
      </c>
      <c r="B466" t="inlineStr">
        <is>
          <t>ei</t>
        </is>
      </c>
      <c r="C466" t="inlineStr">
        <is>
          <t>700/1050</t>
        </is>
      </c>
      <c r="D466" t="n">
        <v>10</v>
      </c>
      <c r="E466" s="424" t="n">
        <v>618.75</v>
      </c>
    </row>
    <row r="467">
      <c r="A467" t="inlineStr">
        <is>
          <t>S+ FastPlus</t>
        </is>
      </c>
      <c r="B467" t="inlineStr">
        <is>
          <t>ei</t>
        </is>
      </c>
      <c r="C467" t="inlineStr">
        <is>
          <t>800/1200</t>
        </is>
      </c>
      <c r="D467" t="n">
        <v>8</v>
      </c>
      <c r="E467" s="424" t="n">
        <v>553.9400000000001</v>
      </c>
    </row>
    <row r="468">
      <c r="A468" t="inlineStr">
        <is>
          <t>S+ FastPlus</t>
        </is>
      </c>
      <c r="B468" t="inlineStr">
        <is>
          <t>ei</t>
        </is>
      </c>
      <c r="C468" t="inlineStr">
        <is>
          <t>800/1200</t>
        </is>
      </c>
      <c r="D468" t="n">
        <v>9</v>
      </c>
      <c r="E468" s="424" t="n">
        <v>604.39</v>
      </c>
    </row>
    <row r="469">
      <c r="A469" t="inlineStr">
        <is>
          <t>S+ FastPlus</t>
        </is>
      </c>
      <c r="B469" t="inlineStr">
        <is>
          <t>ei</t>
        </is>
      </c>
      <c r="C469" t="inlineStr">
        <is>
          <t>800/1200</t>
        </is>
      </c>
      <c r="D469" t="n">
        <v>10</v>
      </c>
      <c r="E469" s="424" t="n">
        <v>683.28</v>
      </c>
    </row>
    <row r="470">
      <c r="A470" t="inlineStr">
        <is>
          <t>S+ FastPlus</t>
        </is>
      </c>
      <c r="B470" t="inlineStr">
        <is>
          <t>ei</t>
        </is>
      </c>
      <c r="C470" t="inlineStr">
        <is>
          <t>800/1200</t>
        </is>
      </c>
      <c r="D470" t="n">
        <v>11</v>
      </c>
      <c r="E470" s="424" t="n">
        <v>747.6799999999999</v>
      </c>
    </row>
    <row r="471">
      <c r="A471" t="inlineStr">
        <is>
          <t>S+ FastPlus</t>
        </is>
      </c>
      <c r="B471" t="inlineStr">
        <is>
          <t>ei</t>
        </is>
      </c>
      <c r="C471" t="inlineStr">
        <is>
          <t>800/1200</t>
        </is>
      </c>
      <c r="D471" t="n">
        <v>12</v>
      </c>
      <c r="E471" s="424" t="n">
        <v>830.37</v>
      </c>
    </row>
    <row r="472">
      <c r="A472" t="inlineStr">
        <is>
          <t>S+ FastPlus</t>
        </is>
      </c>
      <c r="B472" t="inlineStr">
        <is>
          <t>ei</t>
        </is>
      </c>
      <c r="C472" t="inlineStr">
        <is>
          <t>900/1350</t>
        </is>
      </c>
      <c r="D472" t="n">
        <v>9</v>
      </c>
      <c r="E472" s="424" t="n">
        <v>707.4</v>
      </c>
    </row>
    <row r="473">
      <c r="A473" t="inlineStr">
        <is>
          <t>S+ FastPlus</t>
        </is>
      </c>
      <c r="B473" t="inlineStr">
        <is>
          <t>ei</t>
        </is>
      </c>
      <c r="C473" t="inlineStr">
        <is>
          <t>900/1350</t>
        </is>
      </c>
      <c r="D473" t="n">
        <v>10</v>
      </c>
      <c r="E473" s="424" t="n">
        <v>804.8200000000001</v>
      </c>
    </row>
    <row r="474">
      <c r="A474" t="inlineStr">
        <is>
          <t>S+ FastPlus</t>
        </is>
      </c>
      <c r="B474" t="inlineStr">
        <is>
          <t>ei</t>
        </is>
      </c>
      <c r="C474" t="inlineStr">
        <is>
          <t>900/1350</t>
        </is>
      </c>
      <c r="D474" t="n">
        <v>11</v>
      </c>
      <c r="E474" s="424" t="n">
        <v>883.6799999999999</v>
      </c>
    </row>
    <row r="475">
      <c r="A475" t="inlineStr">
        <is>
          <t>S+ FastPlus</t>
        </is>
      </c>
      <c r="B475" t="inlineStr">
        <is>
          <t>ei</t>
        </is>
      </c>
      <c r="C475" t="inlineStr">
        <is>
          <t>900/1350</t>
        </is>
      </c>
      <c r="D475" t="n">
        <v>12</v>
      </c>
      <c r="E475" s="424" t="n">
        <v>985.98</v>
      </c>
    </row>
    <row r="476">
      <c r="A476" t="inlineStr">
        <is>
          <t>S+ FastPlus</t>
        </is>
      </c>
      <c r="B476" t="inlineStr">
        <is>
          <t>ei</t>
        </is>
      </c>
      <c r="C476" t="inlineStr">
        <is>
          <t>1000/1500</t>
        </is>
      </c>
      <c r="D476" t="n">
        <v>9</v>
      </c>
      <c r="E476" s="424" t="n">
        <v>746.1</v>
      </c>
    </row>
    <row r="477">
      <c r="A477" t="inlineStr">
        <is>
          <t>S+ FastPlus</t>
        </is>
      </c>
      <c r="B477" t="inlineStr">
        <is>
          <t>ei</t>
        </is>
      </c>
      <c r="C477" t="inlineStr">
        <is>
          <t>1000/1500</t>
        </is>
      </c>
      <c r="D477" t="n">
        <v>10</v>
      </c>
      <c r="E477" s="424" t="n">
        <v>868.22</v>
      </c>
    </row>
    <row r="478">
      <c r="A478" t="inlineStr">
        <is>
          <t>S+ FastPlus</t>
        </is>
      </c>
      <c r="B478" t="inlineStr">
        <is>
          <t>ei</t>
        </is>
      </c>
      <c r="C478" t="inlineStr">
        <is>
          <t>1000/1500</t>
        </is>
      </c>
      <c r="D478" t="n">
        <v>11</v>
      </c>
      <c r="E478" s="424" t="n">
        <v>913.73</v>
      </c>
    </row>
    <row r="479">
      <c r="A479" t="inlineStr">
        <is>
          <t>S+ FastPlus</t>
        </is>
      </c>
      <c r="B479" t="inlineStr">
        <is>
          <t>ei</t>
        </is>
      </c>
      <c r="C479" t="inlineStr">
        <is>
          <t>1000/1500</t>
        </is>
      </c>
      <c r="D479" t="n">
        <v>12</v>
      </c>
      <c r="E479" s="424" t="n">
        <v>1007.45</v>
      </c>
    </row>
    <row r="480">
      <c r="A480" t="inlineStr">
        <is>
          <t>E</t>
        </is>
      </c>
      <c r="B480" t="inlineStr">
        <is>
          <t>rond</t>
        </is>
      </c>
      <c r="C480" t="n">
        <v>200</v>
      </c>
      <c r="D480" t="n">
        <v>3</v>
      </c>
      <c r="E480" s="424" t="n">
        <v>64.77</v>
      </c>
    </row>
    <row r="481">
      <c r="A481" t="inlineStr">
        <is>
          <t>E</t>
        </is>
      </c>
      <c r="B481" t="inlineStr">
        <is>
          <t>rond</t>
        </is>
      </c>
      <c r="C481" t="n">
        <v>200</v>
      </c>
      <c r="D481" t="n">
        <v>4</v>
      </c>
      <c r="E481" s="424" t="n">
        <v>70.34999999999999</v>
      </c>
    </row>
    <row r="482">
      <c r="A482" t="inlineStr">
        <is>
          <t>E</t>
        </is>
      </c>
      <c r="B482" t="inlineStr">
        <is>
          <t>rond</t>
        </is>
      </c>
      <c r="C482" t="n">
        <v>225</v>
      </c>
      <c r="D482" t="n">
        <v>3</v>
      </c>
      <c r="E482" s="424" t="n">
        <v>69.44</v>
      </c>
    </row>
    <row r="483">
      <c r="A483" t="inlineStr">
        <is>
          <t>E</t>
        </is>
      </c>
      <c r="B483" t="inlineStr">
        <is>
          <t>rond</t>
        </is>
      </c>
      <c r="C483" t="n">
        <v>225</v>
      </c>
      <c r="D483" t="n">
        <v>4</v>
      </c>
      <c r="E483" s="424" t="n">
        <v>76.01000000000001</v>
      </c>
    </row>
    <row r="484">
      <c r="A484" t="inlineStr">
        <is>
          <t>E</t>
        </is>
      </c>
      <c r="B484" t="inlineStr">
        <is>
          <t>rond</t>
        </is>
      </c>
      <c r="C484" t="n">
        <v>250</v>
      </c>
      <c r="D484" t="n">
        <v>3</v>
      </c>
      <c r="E484" s="424" t="n">
        <v>74.16</v>
      </c>
    </row>
    <row r="485">
      <c r="A485" t="inlineStr">
        <is>
          <t>E</t>
        </is>
      </c>
      <c r="B485" t="inlineStr">
        <is>
          <t>rond</t>
        </is>
      </c>
      <c r="C485" t="n">
        <v>250</v>
      </c>
      <c r="D485" t="n">
        <v>4</v>
      </c>
      <c r="E485" s="424" t="n">
        <v>77.98999999999999</v>
      </c>
    </row>
    <row r="486">
      <c r="A486" t="inlineStr">
        <is>
          <t>E</t>
        </is>
      </c>
      <c r="B486" t="inlineStr">
        <is>
          <t>rond</t>
        </is>
      </c>
      <c r="C486" t="n">
        <v>300</v>
      </c>
      <c r="D486" t="n">
        <v>3</v>
      </c>
      <c r="E486" s="424" t="n">
        <v>77.90000000000001</v>
      </c>
    </row>
    <row r="487">
      <c r="A487" t="inlineStr">
        <is>
          <t>E</t>
        </is>
      </c>
      <c r="B487" t="inlineStr">
        <is>
          <t>rond</t>
        </is>
      </c>
      <c r="C487" t="n">
        <v>300</v>
      </c>
      <c r="D487" t="n">
        <v>4</v>
      </c>
      <c r="E487" s="424" t="n">
        <v>91.09999999999999</v>
      </c>
    </row>
    <row r="488">
      <c r="A488" t="inlineStr">
        <is>
          <t>E</t>
        </is>
      </c>
      <c r="B488" t="inlineStr">
        <is>
          <t>rond</t>
        </is>
      </c>
      <c r="C488" t="n">
        <v>400</v>
      </c>
      <c r="D488" t="n">
        <v>3</v>
      </c>
      <c r="E488" s="424" t="n">
        <v>104.64</v>
      </c>
    </row>
    <row r="489">
      <c r="A489" t="inlineStr">
        <is>
          <t>E</t>
        </is>
      </c>
      <c r="B489" t="inlineStr">
        <is>
          <t>rond</t>
        </is>
      </c>
      <c r="C489" t="n">
        <v>400</v>
      </c>
      <c r="D489" t="n">
        <v>4</v>
      </c>
      <c r="E489" s="424" t="n">
        <v>115.33</v>
      </c>
    </row>
    <row r="490">
      <c r="A490" t="inlineStr">
        <is>
          <t>E</t>
        </is>
      </c>
      <c r="B490" t="inlineStr">
        <is>
          <t>rond</t>
        </is>
      </c>
      <c r="C490" t="n">
        <v>500</v>
      </c>
      <c r="D490" t="n">
        <v>3</v>
      </c>
      <c r="E490" s="424" t="n">
        <v>125.68</v>
      </c>
    </row>
    <row r="491">
      <c r="A491" t="inlineStr">
        <is>
          <t>E</t>
        </is>
      </c>
      <c r="B491" t="inlineStr">
        <is>
          <t>rond</t>
        </is>
      </c>
      <c r="C491" t="n">
        <v>500</v>
      </c>
      <c r="D491" t="n">
        <v>4</v>
      </c>
      <c r="E491" s="424" t="n">
        <v>140.81</v>
      </c>
    </row>
    <row r="492">
      <c r="A492" t="inlineStr">
        <is>
          <t>E</t>
        </is>
      </c>
      <c r="B492" t="inlineStr">
        <is>
          <t>rond</t>
        </is>
      </c>
      <c r="C492" t="n">
        <v>500</v>
      </c>
      <c r="D492" t="n">
        <v>5</v>
      </c>
      <c r="E492" s="424" t="n">
        <v>156.72</v>
      </c>
    </row>
    <row r="493">
      <c r="A493" t="inlineStr">
        <is>
          <t>E</t>
        </is>
      </c>
      <c r="B493" t="inlineStr">
        <is>
          <t>rond</t>
        </is>
      </c>
      <c r="C493" t="n">
        <v>600</v>
      </c>
      <c r="D493" t="n">
        <v>3</v>
      </c>
      <c r="E493" s="424" t="n">
        <v>141.89</v>
      </c>
    </row>
    <row r="494">
      <c r="A494" t="inlineStr">
        <is>
          <t>E</t>
        </is>
      </c>
      <c r="B494" t="inlineStr">
        <is>
          <t>rond</t>
        </is>
      </c>
      <c r="C494" t="n">
        <v>600</v>
      </c>
      <c r="D494" t="n">
        <v>4</v>
      </c>
      <c r="E494" s="424" t="n">
        <v>161.32</v>
      </c>
    </row>
    <row r="495">
      <c r="A495" t="inlineStr">
        <is>
          <t>E</t>
        </is>
      </c>
      <c r="B495" t="inlineStr">
        <is>
          <t>rond</t>
        </is>
      </c>
      <c r="C495" t="n">
        <v>600</v>
      </c>
      <c r="D495" t="n">
        <v>5</v>
      </c>
      <c r="E495" s="424" t="n">
        <v>180.09</v>
      </c>
    </row>
    <row r="496">
      <c r="A496" t="inlineStr">
        <is>
          <t>E</t>
        </is>
      </c>
      <c r="B496" t="inlineStr">
        <is>
          <t>rond</t>
        </is>
      </c>
      <c r="C496" t="n">
        <v>600</v>
      </c>
      <c r="D496" t="n">
        <v>6</v>
      </c>
      <c r="E496" s="424" t="n">
        <v>215.56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2026-06-26T07:02:32Z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
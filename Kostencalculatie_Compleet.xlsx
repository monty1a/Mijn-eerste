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Calculatie" sheetId="2" state="visible" r:id="rId2"/>
    <sheet name="Prijzen" sheetId="3" state="visible" r:id="rId3"/>
    <sheet name="Tarieven 2026" sheetId="4" state="visible" r:id="rId4"/>
    <sheet name="Instellingen" sheetId="5" state="visible" r:id="rId5"/>
    <sheet name="Impregnatie" sheetId="6" state="visible" r:id="rId6"/>
    <sheet name="Droge kous" sheetId="7" state="visible" r:id="rId7"/>
    <sheet name="Sundry" sheetId="8" state="visible" r:id="rId8"/>
    <sheet name="Insituform-calc" sheetId="9" state="visible" r:id="rId9"/>
  </sheets>
  <externalReferences>
    <externalReference r:id="rId10"/>
    <externalReference r:id="rId11"/>
    <externalReference r:id="rId12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_xlnm.Print_Area" localSheetId="2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8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</numFmts>
  <fonts count="38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396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topLeftCell="A57" zoomScale="85" zoomScaleNormal="85" workbookViewId="0">
      <pane ySplit="1" topLeftCell="A2" activePane="bottomLeft" state="frozen"/>
      <selection pane="bottomLeft" activeCell="F95" sqref="F95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topLeftCell="A4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33" sqref="E33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71" t="inlineStr">
        <is>
          <t>IMPREGNATIE — prijs per meter (€/m)</t>
        </is>
      </c>
    </row>
    <row r="3">
      <c r="A3" s="315" t="inlineStr">
        <is>
          <t>DN \ Dikte (mm)</t>
        </is>
      </c>
      <c r="B3" s="315" t="n">
        <v>4.5</v>
      </c>
      <c r="C3" s="315" t="n">
        <v>6</v>
      </c>
      <c r="D3" s="315" t="n">
        <v>7.5</v>
      </c>
      <c r="E3" s="315" t="n">
        <v>9</v>
      </c>
      <c r="F3" s="315" t="n">
        <v>10.5</v>
      </c>
      <c r="G3" s="315" t="n">
        <v>12</v>
      </c>
      <c r="H3" s="315" t="n">
        <v>13.5</v>
      </c>
      <c r="I3" s="315" t="n">
        <v>15</v>
      </c>
      <c r="J3" s="315" t="n">
        <v>16.5</v>
      </c>
      <c r="K3" s="315" t="n">
        <v>18</v>
      </c>
      <c r="L3" s="315" t="n">
        <v>19.5</v>
      </c>
      <c r="M3" s="315" t="n">
        <v>21</v>
      </c>
      <c r="N3" s="315" t="n">
        <v>22.5</v>
      </c>
      <c r="O3" s="315" t="n">
        <v>24</v>
      </c>
    </row>
    <row r="4">
      <c r="A4" s="384" t="n">
        <v>200</v>
      </c>
      <c r="B4" s="385" t="n">
        <v>31.65</v>
      </c>
      <c r="C4" s="385" t="n">
        <v>36.91</v>
      </c>
      <c r="D4" s="385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84" t="n">
        <v>250</v>
      </c>
      <c r="B5" s="244" t="n"/>
      <c r="C5" s="385" t="n">
        <v>42.44</v>
      </c>
      <c r="D5" s="385" t="n">
        <v>47.54</v>
      </c>
      <c r="E5" s="385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84" t="n">
        <v>300</v>
      </c>
      <c r="B6" s="244" t="n"/>
      <c r="C6" s="385" t="n">
        <v>48.04</v>
      </c>
      <c r="D6" s="385" t="n">
        <v>54.1</v>
      </c>
      <c r="E6" s="385" t="n">
        <v>59.33</v>
      </c>
      <c r="F6" s="385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84" t="n">
        <v>350</v>
      </c>
      <c r="B7" s="244" t="n"/>
      <c r="C7" s="385" t="n">
        <v>53.57</v>
      </c>
      <c r="D7" s="385" t="n">
        <v>60.73</v>
      </c>
      <c r="E7" s="385" t="n">
        <v>66.92</v>
      </c>
      <c r="F7" s="385" t="n">
        <v>76.15000000000001</v>
      </c>
      <c r="G7" s="385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84" t="n">
        <v>400</v>
      </c>
      <c r="B8" s="244" t="n"/>
      <c r="C8" s="244" t="n"/>
      <c r="D8" s="385" t="n">
        <v>66.65000000000001</v>
      </c>
      <c r="E8" s="385" t="n">
        <v>74</v>
      </c>
      <c r="F8" s="385" t="n">
        <v>84.26000000000001</v>
      </c>
      <c r="G8" s="385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84" t="n">
        <v>450</v>
      </c>
      <c r="B9" s="244" t="n"/>
      <c r="C9" s="244" t="n"/>
      <c r="D9" s="385" t="n">
        <v>73.34</v>
      </c>
      <c r="E9" s="385" t="n">
        <v>81.7</v>
      </c>
      <c r="F9" s="385" t="n">
        <v>92.88</v>
      </c>
      <c r="G9" s="385" t="n">
        <v>99.93000000000001</v>
      </c>
      <c r="H9" s="385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84" t="n">
        <v>500</v>
      </c>
      <c r="B10" s="244" t="n"/>
      <c r="C10" s="244" t="n"/>
      <c r="D10" s="244" t="n"/>
      <c r="E10" s="385" t="n">
        <v>89.61</v>
      </c>
      <c r="F10" s="385" t="n">
        <v>101.96</v>
      </c>
      <c r="G10" s="385" t="n">
        <v>109.89</v>
      </c>
      <c r="H10" s="385" t="n">
        <v>119.95</v>
      </c>
      <c r="I10" s="385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84" t="n">
        <v>550</v>
      </c>
      <c r="B11" s="244" t="n"/>
      <c r="C11" s="244" t="n"/>
      <c r="D11" s="244" t="n"/>
      <c r="E11" s="385" t="n">
        <v>97.45999999999999</v>
      </c>
      <c r="F11" s="385" t="n">
        <v>110.77</v>
      </c>
      <c r="G11" s="385" t="n">
        <v>119.87</v>
      </c>
      <c r="H11" s="385" t="n">
        <v>130.98</v>
      </c>
      <c r="I11" s="385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84" t="n">
        <v>600</v>
      </c>
      <c r="B12" s="244" t="n"/>
      <c r="C12" s="244" t="n"/>
      <c r="D12" s="244" t="n"/>
      <c r="E12" s="385" t="n">
        <v>103.87</v>
      </c>
      <c r="F12" s="385" t="n">
        <v>117.99</v>
      </c>
      <c r="G12" s="385" t="n">
        <v>128</v>
      </c>
      <c r="H12" s="385" t="n">
        <v>139.87</v>
      </c>
      <c r="I12" s="385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84" t="n">
        <v>650</v>
      </c>
      <c r="B13" s="244" t="n"/>
      <c r="C13" s="244" t="n"/>
      <c r="D13" s="244" t="n"/>
      <c r="E13" s="244" t="n"/>
      <c r="F13" s="385" t="n">
        <v>126.88</v>
      </c>
      <c r="G13" s="385" t="n">
        <v>137.56</v>
      </c>
      <c r="H13" s="385" t="n">
        <v>150.53</v>
      </c>
      <c r="I13" s="385" t="n">
        <v>162.11</v>
      </c>
      <c r="J13" s="385" t="n">
        <v>178.08</v>
      </c>
      <c r="K13" s="244" t="n"/>
      <c r="L13" s="244" t="n"/>
      <c r="M13" s="244" t="n"/>
      <c r="N13" s="244" t="n"/>
      <c r="O13" s="244" t="n"/>
    </row>
    <row r="14">
      <c r="A14" s="384" t="n">
        <v>700</v>
      </c>
      <c r="B14" s="244" t="n"/>
      <c r="C14" s="244" t="n"/>
      <c r="D14" s="244" t="n"/>
      <c r="E14" s="244" t="n"/>
      <c r="F14" s="385" t="n">
        <v>135.77</v>
      </c>
      <c r="G14" s="385" t="n">
        <v>146.72</v>
      </c>
      <c r="H14" s="385" t="n">
        <v>160.79</v>
      </c>
      <c r="I14" s="385" t="n">
        <v>173.3</v>
      </c>
      <c r="J14" s="385" t="n">
        <v>190.45</v>
      </c>
      <c r="K14" s="244" t="n"/>
      <c r="L14" s="244" t="n"/>
      <c r="M14" s="244" t="n"/>
      <c r="N14" s="244" t="n"/>
      <c r="O14" s="244" t="n"/>
    </row>
    <row r="15">
      <c r="A15" s="384" t="n">
        <v>750</v>
      </c>
      <c r="B15" s="244" t="n"/>
      <c r="C15" s="244" t="n"/>
      <c r="D15" s="244" t="n"/>
      <c r="E15" s="244" t="n"/>
      <c r="F15" s="244" t="n"/>
      <c r="G15" s="385" t="n">
        <v>156.31</v>
      </c>
      <c r="H15" s="385" t="n">
        <v>171.45</v>
      </c>
      <c r="I15" s="385" t="n">
        <v>184.81</v>
      </c>
      <c r="J15" s="385" t="n">
        <v>203.06</v>
      </c>
      <c r="K15" s="385" t="n">
        <v>216.57</v>
      </c>
      <c r="L15" s="244" t="n"/>
      <c r="M15" s="244" t="n"/>
      <c r="N15" s="244" t="n"/>
      <c r="O15" s="244" t="n"/>
    </row>
    <row r="16">
      <c r="A16" s="384" t="n">
        <v>800</v>
      </c>
      <c r="B16" s="244" t="n"/>
      <c r="C16" s="244" t="n"/>
      <c r="D16" s="244" t="n"/>
      <c r="E16" s="244" t="n"/>
      <c r="F16" s="244" t="n"/>
      <c r="G16" s="385" t="n">
        <v>165.94</v>
      </c>
      <c r="H16" s="385" t="n">
        <v>183.29</v>
      </c>
      <c r="I16" s="385" t="n">
        <v>197.99</v>
      </c>
      <c r="J16" s="385" t="n">
        <v>217.33</v>
      </c>
      <c r="K16" s="385" t="n">
        <v>230.35</v>
      </c>
      <c r="L16" s="244" t="n"/>
      <c r="M16" s="244" t="n"/>
      <c r="N16" s="244" t="n"/>
      <c r="O16" s="244" t="n"/>
    </row>
    <row r="17">
      <c r="A17" s="384" t="n">
        <v>850</v>
      </c>
      <c r="B17" s="244" t="n"/>
      <c r="C17" s="244" t="n"/>
      <c r="D17" s="244" t="n"/>
      <c r="E17" s="244" t="n"/>
      <c r="F17" s="244" t="n"/>
      <c r="G17" s="244" t="n"/>
      <c r="H17" s="385" t="n">
        <v>193.75</v>
      </c>
      <c r="I17" s="385" t="n">
        <v>208.47</v>
      </c>
      <c r="J17" s="385" t="n">
        <v>229.23</v>
      </c>
      <c r="K17" s="385" t="n">
        <v>242.68</v>
      </c>
      <c r="L17" s="385" t="n">
        <v>261.37</v>
      </c>
      <c r="M17" s="244" t="n"/>
      <c r="N17" s="244" t="n"/>
      <c r="O17" s="244" t="n"/>
    </row>
    <row r="18">
      <c r="A18" s="384" t="n">
        <v>900</v>
      </c>
      <c r="B18" s="244" t="n"/>
      <c r="C18" s="244" t="n"/>
      <c r="D18" s="244" t="n"/>
      <c r="E18" s="244" t="n"/>
      <c r="F18" s="244" t="n"/>
      <c r="G18" s="244" t="n"/>
      <c r="H18" s="385" t="n">
        <v>202.53</v>
      </c>
      <c r="I18" s="385" t="n">
        <v>218.95</v>
      </c>
      <c r="J18" s="385" t="n">
        <v>240.23</v>
      </c>
      <c r="K18" s="385" t="n">
        <v>254.97</v>
      </c>
      <c r="L18" s="385" t="n">
        <v>274.74</v>
      </c>
      <c r="M18" s="244" t="n"/>
      <c r="N18" s="244" t="n"/>
      <c r="O18" s="244" t="n"/>
    </row>
    <row r="19">
      <c r="A19" s="384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5" t="n">
        <v>229.42</v>
      </c>
      <c r="J19" s="385" t="n">
        <v>252.76</v>
      </c>
      <c r="K19" s="385" t="n">
        <v>268.53</v>
      </c>
      <c r="L19" s="385" t="n">
        <v>289.53</v>
      </c>
      <c r="M19" s="385" t="n">
        <v>308.87</v>
      </c>
      <c r="N19" s="244" t="n"/>
      <c r="O19" s="244" t="n"/>
    </row>
    <row r="20">
      <c r="A20" s="384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5" t="n">
        <v>245.06</v>
      </c>
      <c r="J20" s="385" t="n">
        <v>268.39</v>
      </c>
      <c r="K20" s="385" t="n">
        <v>285.39</v>
      </c>
      <c r="L20" s="385" t="n">
        <v>307.66</v>
      </c>
      <c r="M20" s="385" t="n">
        <v>324.51</v>
      </c>
      <c r="N20" s="244" t="n"/>
      <c r="O20" s="244" t="n"/>
    </row>
    <row r="21">
      <c r="A21" s="384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5" t="n">
        <v>281.94</v>
      </c>
      <c r="K21" s="385" t="n">
        <v>299.17</v>
      </c>
      <c r="L21" s="385" t="n">
        <v>321.65</v>
      </c>
      <c r="M21" s="385" t="n">
        <v>340.65</v>
      </c>
      <c r="N21" s="385" t="n">
        <v>365.87</v>
      </c>
      <c r="O21" s="244" t="n"/>
    </row>
    <row r="22">
      <c r="A22" s="384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5" t="n">
        <v>295.81</v>
      </c>
      <c r="K22" s="385" t="n">
        <v>312.91</v>
      </c>
      <c r="L22" s="385" t="n">
        <v>336.96</v>
      </c>
      <c r="M22" s="385" t="n">
        <v>356.41</v>
      </c>
      <c r="N22" s="385" t="n">
        <v>380.42</v>
      </c>
      <c r="O22" s="244" t="n"/>
    </row>
    <row r="23">
      <c r="A23" s="384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5" t="n">
        <v>326.66</v>
      </c>
      <c r="L23" s="385" t="n">
        <v>352.27</v>
      </c>
      <c r="M23" s="385" t="n">
        <v>372.17</v>
      </c>
      <c r="N23" s="385" t="n">
        <v>394.97</v>
      </c>
      <c r="O23" s="385" t="n">
        <v>417.74</v>
      </c>
    </row>
    <row r="24">
      <c r="A24" s="384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5" t="n">
        <v>340.28</v>
      </c>
      <c r="L24" s="385" t="n">
        <v>367.17</v>
      </c>
      <c r="M24" s="385" t="n">
        <v>386.18</v>
      </c>
      <c r="N24" s="385" t="n">
        <v>410.52</v>
      </c>
      <c r="O24" s="385" t="n">
        <v>434.81</v>
      </c>
    </row>
    <row r="25">
      <c r="A25" s="384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5" t="n">
        <v>354.05</v>
      </c>
      <c r="L25" s="385" t="n">
        <v>381.98</v>
      </c>
      <c r="M25" s="385" t="n">
        <v>401.82</v>
      </c>
      <c r="N25" s="385" t="n">
        <v>427.24</v>
      </c>
      <c r="O25" s="385" t="n">
        <v>452.57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71" t="inlineStr">
        <is>
          <t>DROGE KOUS — prijs per meter (€/m)</t>
        </is>
      </c>
    </row>
    <row r="3">
      <c r="A3" s="315" t="inlineStr">
        <is>
          <t>DN \ Dikte (mm)</t>
        </is>
      </c>
      <c r="B3" s="315" t="n">
        <v>3</v>
      </c>
      <c r="C3" s="315" t="n">
        <v>4.5</v>
      </c>
      <c r="D3" s="315" t="n">
        <v>6</v>
      </c>
      <c r="E3" s="315" t="n">
        <v>7.5</v>
      </c>
      <c r="F3" s="315" t="n">
        <v>9</v>
      </c>
      <c r="G3" s="315" t="n">
        <v>10.5</v>
      </c>
      <c r="H3" s="315" t="n">
        <v>12</v>
      </c>
      <c r="I3" s="315" t="n">
        <v>13.5</v>
      </c>
      <c r="J3" s="315" t="n">
        <v>15</v>
      </c>
      <c r="K3" s="315" t="n">
        <v>16.5</v>
      </c>
      <c r="L3" s="315" t="n">
        <v>18</v>
      </c>
      <c r="M3" s="315" t="n">
        <v>19.5</v>
      </c>
      <c r="N3" s="315" t="n">
        <v>21</v>
      </c>
      <c r="O3" s="315" t="n">
        <v>22.5</v>
      </c>
      <c r="P3" s="315" t="n">
        <v>24</v>
      </c>
      <c r="Q3" s="315" t="n">
        <v>25.5</v>
      </c>
      <c r="R3" s="315" t="n">
        <v>27</v>
      </c>
      <c r="S3" s="315" t="n">
        <v>28.5</v>
      </c>
      <c r="T3" s="315" t="n">
        <v>30</v>
      </c>
    </row>
    <row r="4">
      <c r="A4" s="384" t="n">
        <v>100</v>
      </c>
      <c r="B4" s="385" t="n">
        <v>3.79</v>
      </c>
      <c r="C4" s="385" t="n">
        <v>4.39</v>
      </c>
      <c r="D4" s="385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84" t="n">
        <v>150</v>
      </c>
      <c r="B5" s="385" t="n">
        <v>4.81</v>
      </c>
      <c r="C5" s="385" t="n">
        <v>5.71</v>
      </c>
      <c r="D5" s="385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84" t="n">
        <v>200</v>
      </c>
      <c r="B6" s="385" t="n">
        <v>6.15</v>
      </c>
      <c r="C6" s="385" t="n">
        <v>7.2</v>
      </c>
      <c r="D6" s="385" t="n">
        <v>7.38</v>
      </c>
      <c r="E6" s="385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84" t="n">
        <v>225</v>
      </c>
      <c r="B7" s="385" t="n">
        <v>6.92</v>
      </c>
      <c r="C7" s="385" t="n">
        <v>8.130000000000001</v>
      </c>
      <c r="D7" s="385" t="n">
        <v>8.24</v>
      </c>
      <c r="E7" s="385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84" t="n">
        <v>250</v>
      </c>
      <c r="B8" s="385" t="n">
        <v>7.69</v>
      </c>
      <c r="C8" s="385" t="n">
        <v>8.94</v>
      </c>
      <c r="D8" s="385" t="n">
        <v>9.050000000000001</v>
      </c>
      <c r="E8" s="385" t="n">
        <v>10.03</v>
      </c>
      <c r="F8" s="385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84" t="n">
        <v>300</v>
      </c>
      <c r="B9" s="385" t="n">
        <v>9.220000000000001</v>
      </c>
      <c r="C9" s="385" t="n">
        <v>10.73</v>
      </c>
      <c r="D9" s="385" t="n">
        <v>10.77</v>
      </c>
      <c r="E9" s="385" t="n">
        <v>11.88</v>
      </c>
      <c r="F9" s="385" t="n">
        <v>12.45</v>
      </c>
      <c r="G9" s="385" t="n">
        <v>14.41</v>
      </c>
      <c r="H9" s="385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84" t="n">
        <v>350</v>
      </c>
      <c r="B10" s="385" t="n">
        <v>10.76</v>
      </c>
      <c r="C10" s="385" t="n">
        <v>12.53</v>
      </c>
      <c r="D10" s="385" t="n">
        <v>12.45</v>
      </c>
      <c r="E10" s="385" t="n">
        <v>13.78</v>
      </c>
      <c r="F10" s="385" t="n">
        <v>14.47</v>
      </c>
      <c r="G10" s="385" t="n">
        <v>17.3</v>
      </c>
      <c r="H10" s="385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84" t="n">
        <v>400</v>
      </c>
      <c r="B11" s="385" t="n">
        <v>12.08</v>
      </c>
      <c r="C11" s="385" t="n">
        <v>13.65</v>
      </c>
      <c r="D11" s="385" t="n">
        <v>13.77</v>
      </c>
      <c r="E11" s="385" t="n">
        <v>15.18</v>
      </c>
      <c r="F11" s="385" t="n">
        <v>16.14</v>
      </c>
      <c r="G11" s="385" t="n">
        <v>19.15</v>
      </c>
      <c r="H11" s="385" t="n">
        <v>19.37</v>
      </c>
      <c r="I11" s="385" t="n">
        <v>20.84</v>
      </c>
      <c r="J11" s="385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84" t="n">
        <v>450</v>
      </c>
      <c r="B12" s="244" t="n"/>
      <c r="C12" s="244" t="n"/>
      <c r="D12" s="385" t="n">
        <v>15.35</v>
      </c>
      <c r="E12" s="385" t="n">
        <v>17.12</v>
      </c>
      <c r="F12" s="385" t="n">
        <v>18.24</v>
      </c>
      <c r="G12" s="385" t="n">
        <v>21.34</v>
      </c>
      <c r="H12" s="385" t="n">
        <v>21.62</v>
      </c>
      <c r="I12" s="385" t="n">
        <v>23.24</v>
      </c>
      <c r="J12" s="385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84" t="n">
        <v>500</v>
      </c>
      <c r="B13" s="244" t="n"/>
      <c r="C13" s="244" t="n"/>
      <c r="D13" s="385" t="n">
        <v>17.06</v>
      </c>
      <c r="E13" s="385" t="n">
        <v>19.49</v>
      </c>
      <c r="F13" s="385" t="n">
        <v>20.49</v>
      </c>
      <c r="G13" s="385" t="n">
        <v>23.86</v>
      </c>
      <c r="H13" s="385" t="n">
        <v>24.2</v>
      </c>
      <c r="I13" s="385" t="n">
        <v>26.05</v>
      </c>
      <c r="J13" s="385" t="n">
        <v>27.12</v>
      </c>
      <c r="K13" s="385" t="n">
        <v>30.43</v>
      </c>
      <c r="L13" s="385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84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84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84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84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84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84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84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84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84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84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84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84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84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84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84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84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84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84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84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84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71" t="inlineStr">
        <is>
          <t>SUNDRY — toebehoren (€)</t>
        </is>
      </c>
    </row>
    <row r="3">
      <c r="A3" s="315" t="inlineStr">
        <is>
          <t>DN ondergrens</t>
        </is>
      </c>
      <c r="B3" s="315" t="inlineStr">
        <is>
          <t>Bereik</t>
        </is>
      </c>
      <c r="C3" s="315" t="inlineStr">
        <is>
          <t>Verloop</t>
        </is>
      </c>
      <c r="D3" s="315" t="inlineStr">
        <is>
          <t>Eindstuk</t>
        </is>
      </c>
      <c r="E3" s="315" t="inlineStr">
        <is>
          <t>Omslaan</t>
        </is>
      </c>
      <c r="F3" s="315" t="inlineStr">
        <is>
          <t>Korte lengte</t>
        </is>
      </c>
      <c r="G3" s="315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5" t="n">
        <v>235.72</v>
      </c>
      <c r="D4" s="385" t="n">
        <v>160.98</v>
      </c>
      <c r="E4" s="385" t="n">
        <v>160.98</v>
      </c>
      <c r="F4" s="385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5" t="n">
        <v>252.96</v>
      </c>
      <c r="D5" s="385" t="n">
        <v>160.98</v>
      </c>
      <c r="E5" s="385" t="n">
        <v>160.98</v>
      </c>
      <c r="F5" s="385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5" t="n">
        <v>264.46</v>
      </c>
      <c r="D6" s="385" t="n">
        <v>160.98</v>
      </c>
      <c r="E6" s="385" t="n">
        <v>160.98</v>
      </c>
      <c r="F6" s="385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5" t="n">
        <v>264.46</v>
      </c>
      <c r="D7" s="385" t="n">
        <v>166.73</v>
      </c>
      <c r="E7" s="385" t="n">
        <v>166.73</v>
      </c>
      <c r="F7" s="385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5" t="n">
        <v>298.96</v>
      </c>
      <c r="D8" s="385" t="n">
        <v>189.72</v>
      </c>
      <c r="E8" s="385" t="n">
        <v>189.72</v>
      </c>
      <c r="F8" s="385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5" t="n">
        <v>327.7</v>
      </c>
      <c r="D9" s="385" t="n">
        <v>195.47</v>
      </c>
      <c r="E9" s="385" t="n">
        <v>195.47</v>
      </c>
      <c r="F9" s="385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5" t="n">
        <v>344.95</v>
      </c>
      <c r="D10" s="385" t="n">
        <v>252.96</v>
      </c>
      <c r="E10" s="385" t="n">
        <v>252.96</v>
      </c>
      <c r="F10" s="385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5" t="n">
        <v>379.45</v>
      </c>
      <c r="D11" s="385" t="n">
        <v>321.96</v>
      </c>
      <c r="E11" s="385" t="n">
        <v>321.96</v>
      </c>
      <c r="F11" s="385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5" t="n">
        <v>402.44</v>
      </c>
      <c r="D12" s="385" t="n">
        <v>385.2</v>
      </c>
      <c r="E12" s="385" t="n">
        <v>385.2</v>
      </c>
      <c r="F12" s="385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5" t="n">
        <v>459.94</v>
      </c>
      <c r="D13" s="385" t="n">
        <v>431.19</v>
      </c>
      <c r="E13" s="385" t="n">
        <v>431.19</v>
      </c>
      <c r="F13" s="385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5" t="n">
        <v>517.4299999999999</v>
      </c>
      <c r="D14" s="385" t="n">
        <v>459.94</v>
      </c>
      <c r="E14" s="385" t="n">
        <v>459.94</v>
      </c>
      <c r="F14" s="385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5" t="n">
        <v>574.92</v>
      </c>
      <c r="D15" s="385" t="n">
        <v>488.68</v>
      </c>
      <c r="E15" s="385" t="n">
        <v>488.68</v>
      </c>
      <c r="F15" s="385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5" t="n">
        <v>689.9</v>
      </c>
      <c r="D16" s="385" t="n">
        <v>580.67</v>
      </c>
      <c r="E16" s="385" t="n">
        <v>580.67</v>
      </c>
      <c r="F16" s="385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5" t="n">
        <v>804.89</v>
      </c>
      <c r="D17" s="385" t="n">
        <v>672.66</v>
      </c>
      <c r="E17" s="385" t="n">
        <v>672.66</v>
      </c>
      <c r="F17" s="385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5" t="n">
        <v>862.38</v>
      </c>
      <c r="D18" s="385" t="n">
        <v>718.65</v>
      </c>
      <c r="E18" s="385" t="n">
        <v>718.65</v>
      </c>
      <c r="F18" s="385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5" t="n">
        <v>1149.84</v>
      </c>
      <c r="D19" s="385" t="n">
        <v>862.38</v>
      </c>
      <c r="E19" s="385" t="n">
        <v>862.38</v>
      </c>
      <c r="F19" s="385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5" t="n">
        <v>1494.79</v>
      </c>
      <c r="D20" s="385" t="n">
        <v>1149.84</v>
      </c>
      <c r="E20" s="385" t="n">
        <v>1149.84</v>
      </c>
      <c r="F20" s="385" t="n">
        <v>574.92</v>
      </c>
      <c r="G20" s="244" t="n">
        <v>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71" t="inlineStr">
        <is>
          <t>INSITUFORM DETAILCALCULATIE — impregnatie + droge kous + sundry per kous</t>
        </is>
      </c>
    </row>
    <row r="2">
      <c r="A2" s="386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5" t="inlineStr">
        <is>
          <t>Kous</t>
        </is>
      </c>
      <c r="B4" s="315" t="inlineStr">
        <is>
          <t>Omschrijving / locatie</t>
        </is>
      </c>
      <c r="C4" s="387" t="inlineStr">
        <is>
          <t>DN</t>
        </is>
      </c>
      <c r="D4" s="387" t="inlineStr">
        <is>
          <t>Dikte
(mm)</t>
        </is>
      </c>
      <c r="E4" s="387" t="inlineStr">
        <is>
          <t>Lengte geimpr.
(m)</t>
        </is>
      </c>
      <c r="F4" s="315" t="inlineStr">
        <is>
          <t>Omslaan
(m)</t>
        </is>
      </c>
      <c r="G4" s="315" t="inlineStr">
        <is>
          <t># Eind-
stuk</t>
        </is>
      </c>
      <c r="H4" s="315" t="inlineStr">
        <is>
          <t># Om-
slaan</t>
        </is>
      </c>
      <c r="I4" s="315" t="inlineStr">
        <is>
          <t># Ver-
loop</t>
        </is>
      </c>
      <c r="J4" s="315" t="inlineStr">
        <is>
          <t>Voor-
raad?</t>
        </is>
      </c>
      <c r="K4" s="315" t="inlineStr">
        <is>
          <t>Droge kous
(m)</t>
        </is>
      </c>
      <c r="L4" s="315" t="inlineStr">
        <is>
          <t>€/m
impregn.</t>
        </is>
      </c>
      <c r="M4" s="315" t="inlineStr">
        <is>
          <t>Kosten
impregnatie</t>
        </is>
      </c>
      <c r="N4" s="315" t="inlineStr">
        <is>
          <t>€/m
droog</t>
        </is>
      </c>
      <c r="O4" s="315" t="inlineStr">
        <is>
          <t>Kosten
droge kous</t>
        </is>
      </c>
      <c r="P4" s="315" t="inlineStr">
        <is>
          <t>Kosten
eindstuk</t>
        </is>
      </c>
      <c r="Q4" s="315" t="inlineStr">
        <is>
          <t>Kosten
omslaan</t>
        </is>
      </c>
      <c r="R4" s="315" t="inlineStr">
        <is>
          <t>Kosten
verloop</t>
        </is>
      </c>
      <c r="S4" s="315" t="inlineStr">
        <is>
          <t>Korte
lengte</t>
        </is>
      </c>
      <c r="T4" s="315" t="inlineStr">
        <is>
          <t>TOTAAL
per kous</t>
        </is>
      </c>
    </row>
    <row r="5">
      <c r="A5" s="388" t="inlineStr">
        <is>
          <t>501</t>
        </is>
      </c>
      <c r="B5" s="388" t="inlineStr">
        <is>
          <t>schansbaan, 18D0543</t>
        </is>
      </c>
      <c r="C5" s="389" t="n">
        <v>250</v>
      </c>
      <c r="D5" s="389" t="n">
        <v>6</v>
      </c>
      <c r="E5" s="390" t="n">
        <v>121.8</v>
      </c>
      <c r="F5" s="391" t="n">
        <v>4.75</v>
      </c>
      <c r="G5" s="306" t="n">
        <v>1</v>
      </c>
      <c r="H5" s="306" t="n">
        <v>1</v>
      </c>
      <c r="I5" s="306" t="n">
        <v>0</v>
      </c>
      <c r="J5" s="306" t="inlineStr">
        <is>
          <t>J</t>
        </is>
      </c>
      <c r="K5" s="392">
        <f>IF(ISNUMBER(E5),IF(ISNUMBER(F5),F5,Instellingen!$B$6)+Instellingen!$B$5,"")</f>
        <v/>
      </c>
      <c r="L5" s="392">
        <f>IFERROR(INDEX(Impregnatie!$B$4:$O$25,MATCH(C5,Impregnatie!$A$4:$A$25,0),MATCH(D5,Impregnatie!$B$3:$O$3,0))*(1+Instellingen!$B$4),"")</f>
        <v/>
      </c>
      <c r="M5" s="392">
        <f>IF(AND(ISNUMBER(E5),ISNUMBER(L5)),E5*L5,0)</f>
        <v/>
      </c>
      <c r="N5" s="392">
        <f>IFERROR(INDEX('Droge kous'!$B$4:$T$33,MATCH(C5,'Droge kous'!$A$4:$A$33,0),MATCH(D5,'Droge kous'!$B$3:$T$3,0)),"")</f>
        <v/>
      </c>
      <c r="O5" s="392">
        <f>IF(AND(ISNUMBER(K5),ISNUMBER(N5)),K5*N5,0)</f>
        <v/>
      </c>
      <c r="P5" s="392">
        <f>IF(ISNUMBER(C5),IFERROR(N(G5)*VLOOKUP(C5,Sundry!$A$4:$G$20,4,TRUE),0),0)</f>
        <v/>
      </c>
      <c r="Q5" s="392">
        <f>IF(ISNUMBER(C5),IFERROR(N(H5)*VLOOKUP(C5,Sundry!$A$4:$G$20,5,TRUE),0),0)</f>
        <v/>
      </c>
      <c r="R5" s="392">
        <f>IF(ISNUMBER(C5),IFERROR(N(I5)*VLOOKUP(C5,Sundry!$A$4:$G$20,3,TRUE),0),0)</f>
        <v/>
      </c>
      <c r="S5" s="392">
        <f>IF(AND(ISNUMBER(C5),ISNUMBER(E5),UPPER(J5)="N",E5&lt;VLOOKUP(C5,Sundry!$A$4:$G$20,7,TRUE)),VLOOKUP(C5,Sundry!$A$4:$G$20,6,TRUE),0)</f>
        <v/>
      </c>
      <c r="T5" s="393">
        <f>M5+O5+P5+Q5+R5+S5</f>
        <v/>
      </c>
    </row>
    <row r="6">
      <c r="A6" s="388" t="inlineStr">
        <is>
          <t>502</t>
        </is>
      </c>
      <c r="B6" s="388" t="inlineStr">
        <is>
          <t>semsschans, 18D0553</t>
        </is>
      </c>
      <c r="C6" s="389" t="n">
        <v>250</v>
      </c>
      <c r="D6" s="389" t="n">
        <v>6</v>
      </c>
      <c r="E6" s="390" t="n">
        <v>30.6</v>
      </c>
      <c r="F6" s="391" t="n">
        <v>4.34</v>
      </c>
      <c r="G6" s="306" t="n">
        <v>1</v>
      </c>
      <c r="H6" s="306" t="n">
        <v>1</v>
      </c>
      <c r="I6" s="306" t="n">
        <v>0</v>
      </c>
      <c r="J6" s="306" t="inlineStr">
        <is>
          <t>J</t>
        </is>
      </c>
      <c r="K6" s="392">
        <f>IF(ISNUMBER(E6),IF(ISNUMBER(F6),F6,Instellingen!$B$6)+Instellingen!$B$5,"")</f>
        <v/>
      </c>
      <c r="L6" s="392">
        <f>IFERROR(INDEX(Impregnatie!$B$4:$O$25,MATCH(C6,Impregnatie!$A$4:$A$25,0),MATCH(D6,Impregnatie!$B$3:$O$3,0))*(1+Instellingen!$B$4),"")</f>
        <v/>
      </c>
      <c r="M6" s="392">
        <f>IF(AND(ISNUMBER(E6),ISNUMBER(L6)),E6*L6,0)</f>
        <v/>
      </c>
      <c r="N6" s="392">
        <f>IFERROR(INDEX('Droge kous'!$B$4:$T$33,MATCH(C6,'Droge kous'!$A$4:$A$33,0),MATCH(D6,'Droge kous'!$B$3:$T$3,0)),"")</f>
        <v/>
      </c>
      <c r="O6" s="392">
        <f>IF(AND(ISNUMBER(K6),ISNUMBER(N6)),K6*N6,0)</f>
        <v/>
      </c>
      <c r="P6" s="392">
        <f>IF(ISNUMBER(C6),IFERROR(N(G6)*VLOOKUP(C6,Sundry!$A$4:$G$20,4,TRUE),0),0)</f>
        <v/>
      </c>
      <c r="Q6" s="392">
        <f>IF(ISNUMBER(C6),IFERROR(N(H6)*VLOOKUP(C6,Sundry!$A$4:$G$20,5,TRUE),0),0)</f>
        <v/>
      </c>
      <c r="R6" s="392">
        <f>IF(ISNUMBER(C6),IFERROR(N(I6)*VLOOKUP(C6,Sundry!$A$4:$G$20,3,TRUE),0),0)</f>
        <v/>
      </c>
      <c r="S6" s="392">
        <f>IF(AND(ISNUMBER(C6),ISNUMBER(E6),UPPER(J6)="N",E6&lt;VLOOKUP(C6,Sundry!$A$4:$G$20,7,TRUE)),VLOOKUP(C6,Sundry!$A$4:$G$20,6,TRUE),0)</f>
        <v/>
      </c>
      <c r="T6" s="393">
        <f>M6+O6+P6+Q6+R6+S6</f>
        <v/>
      </c>
    </row>
    <row r="7">
      <c r="A7" s="388" t="inlineStr">
        <is>
          <t>503</t>
        </is>
      </c>
      <c r="B7" s="388" t="inlineStr">
        <is>
          <t>semsschans, 18D0554</t>
        </is>
      </c>
      <c r="C7" s="389" t="n">
        <v>250</v>
      </c>
      <c r="D7" s="389" t="n">
        <v>6</v>
      </c>
      <c r="E7" s="390" t="n">
        <v>60</v>
      </c>
      <c r="F7" s="391" t="n">
        <v>4.3</v>
      </c>
      <c r="G7" s="306" t="n">
        <v>1</v>
      </c>
      <c r="H7" s="306" t="n">
        <v>1</v>
      </c>
      <c r="I7" s="306" t="n">
        <v>0</v>
      </c>
      <c r="J7" s="306" t="inlineStr">
        <is>
          <t>J</t>
        </is>
      </c>
      <c r="K7" s="392">
        <f>IF(ISNUMBER(E7),IF(ISNUMBER(F7),F7,Instellingen!$B$6)+Instellingen!$B$5,"")</f>
        <v/>
      </c>
      <c r="L7" s="392">
        <f>IFERROR(INDEX(Impregnatie!$B$4:$O$25,MATCH(C7,Impregnatie!$A$4:$A$25,0),MATCH(D7,Impregnatie!$B$3:$O$3,0))*(1+Instellingen!$B$4),"")</f>
        <v/>
      </c>
      <c r="M7" s="392">
        <f>IF(AND(ISNUMBER(E7),ISNUMBER(L7)),E7*L7,0)</f>
        <v/>
      </c>
      <c r="N7" s="392">
        <f>IFERROR(INDEX('Droge kous'!$B$4:$T$33,MATCH(C7,'Droge kous'!$A$4:$A$33,0),MATCH(D7,'Droge kous'!$B$3:$T$3,0)),"")</f>
        <v/>
      </c>
      <c r="O7" s="392">
        <f>IF(AND(ISNUMBER(K7),ISNUMBER(N7)),K7*N7,0)</f>
        <v/>
      </c>
      <c r="P7" s="392">
        <f>IF(ISNUMBER(C7),IFERROR(N(G7)*VLOOKUP(C7,Sundry!$A$4:$G$20,4,TRUE),0),0)</f>
        <v/>
      </c>
      <c r="Q7" s="392">
        <f>IF(ISNUMBER(C7),IFERROR(N(H7)*VLOOKUP(C7,Sundry!$A$4:$G$20,5,TRUE),0),0)</f>
        <v/>
      </c>
      <c r="R7" s="392">
        <f>IF(ISNUMBER(C7),IFERROR(N(I7)*VLOOKUP(C7,Sundry!$A$4:$G$20,3,TRUE),0),0)</f>
        <v/>
      </c>
      <c r="S7" s="392">
        <f>IF(AND(ISNUMBER(C7),ISNUMBER(E7),UPPER(J7)="N",E7&lt;VLOOKUP(C7,Sundry!$A$4:$G$20,7,TRUE)),VLOOKUP(C7,Sundry!$A$4:$G$20,6,TRUE),0)</f>
        <v/>
      </c>
      <c r="T7" s="393">
        <f>M7+O7+P7+Q7+R7+S7</f>
        <v/>
      </c>
    </row>
    <row r="8">
      <c r="A8" s="388" t="inlineStr">
        <is>
          <t>504</t>
        </is>
      </c>
      <c r="B8" s="388" t="inlineStr">
        <is>
          <t>van rijswijckschans, 18D0461</t>
        </is>
      </c>
      <c r="C8" s="389" t="n">
        <v>250</v>
      </c>
      <c r="D8" s="389" t="n">
        <v>6</v>
      </c>
      <c r="E8" s="390" t="n">
        <v>104.7</v>
      </c>
      <c r="F8" s="391" t="n">
        <v>4.44</v>
      </c>
      <c r="G8" s="306" t="n">
        <v>1</v>
      </c>
      <c r="H8" s="306" t="n">
        <v>1</v>
      </c>
      <c r="I8" s="306" t="n">
        <v>0</v>
      </c>
      <c r="J8" s="306" t="inlineStr">
        <is>
          <t>J</t>
        </is>
      </c>
      <c r="K8" s="392">
        <f>IF(ISNUMBER(E8),IF(ISNUMBER(F8),F8,Instellingen!$B$6)+Instellingen!$B$5,"")</f>
        <v/>
      </c>
      <c r="L8" s="392">
        <f>IFERROR(INDEX(Impregnatie!$B$4:$O$25,MATCH(C8,Impregnatie!$A$4:$A$25,0),MATCH(D8,Impregnatie!$B$3:$O$3,0))*(1+Instellingen!$B$4),"")</f>
        <v/>
      </c>
      <c r="M8" s="392">
        <f>IF(AND(ISNUMBER(E8),ISNUMBER(L8)),E8*L8,0)</f>
        <v/>
      </c>
      <c r="N8" s="392">
        <f>IFERROR(INDEX('Droge kous'!$B$4:$T$33,MATCH(C8,'Droge kous'!$A$4:$A$33,0),MATCH(D8,'Droge kous'!$B$3:$T$3,0)),"")</f>
        <v/>
      </c>
      <c r="O8" s="392">
        <f>IF(AND(ISNUMBER(K8),ISNUMBER(N8)),K8*N8,0)</f>
        <v/>
      </c>
      <c r="P8" s="392">
        <f>IF(ISNUMBER(C8),IFERROR(N(G8)*VLOOKUP(C8,Sundry!$A$4:$G$20,4,TRUE),0),0)</f>
        <v/>
      </c>
      <c r="Q8" s="392">
        <f>IF(ISNUMBER(C8),IFERROR(N(H8)*VLOOKUP(C8,Sundry!$A$4:$G$20,5,TRUE),0),0)</f>
        <v/>
      </c>
      <c r="R8" s="392">
        <f>IF(ISNUMBER(C8),IFERROR(N(I8)*VLOOKUP(C8,Sundry!$A$4:$G$20,3,TRUE),0),0)</f>
        <v/>
      </c>
      <c r="S8" s="392">
        <f>IF(AND(ISNUMBER(C8),ISNUMBER(E8),UPPER(J8)="N",E8&lt;VLOOKUP(C8,Sundry!$A$4:$G$20,7,TRUE)),VLOOKUP(C8,Sundry!$A$4:$G$20,6,TRUE),0)</f>
        <v/>
      </c>
      <c r="T8" s="393">
        <f>M8+O8+P8+Q8+R8+S8</f>
        <v/>
      </c>
    </row>
    <row r="9">
      <c r="A9" s="388" t="inlineStr">
        <is>
          <t>505</t>
        </is>
      </c>
      <c r="B9" s="388" t="inlineStr">
        <is>
          <t>van rijswijckschans, 18D0456</t>
        </is>
      </c>
      <c r="C9" s="389" t="n">
        <v>250</v>
      </c>
      <c r="D9" s="389" t="n">
        <v>6</v>
      </c>
      <c r="E9" s="390" t="n">
        <v>67.3</v>
      </c>
      <c r="F9" s="391" t="n">
        <v>4.61</v>
      </c>
      <c r="G9" s="306" t="n">
        <v>1</v>
      </c>
      <c r="H9" s="306" t="n">
        <v>1</v>
      </c>
      <c r="I9" s="306" t="n">
        <v>0</v>
      </c>
      <c r="J9" s="306" t="inlineStr">
        <is>
          <t>J</t>
        </is>
      </c>
      <c r="K9" s="392">
        <f>IF(ISNUMBER(E9),IF(ISNUMBER(F9),F9,Instellingen!$B$6)+Instellingen!$B$5,"")</f>
        <v/>
      </c>
      <c r="L9" s="392">
        <f>IFERROR(INDEX(Impregnatie!$B$4:$O$25,MATCH(C9,Impregnatie!$A$4:$A$25,0),MATCH(D9,Impregnatie!$B$3:$O$3,0))*(1+Instellingen!$B$4),"")</f>
        <v/>
      </c>
      <c r="M9" s="392">
        <f>IF(AND(ISNUMBER(E9),ISNUMBER(L9)),E9*L9,0)</f>
        <v/>
      </c>
      <c r="N9" s="392">
        <f>IFERROR(INDEX('Droge kous'!$B$4:$T$33,MATCH(C9,'Droge kous'!$A$4:$A$33,0),MATCH(D9,'Droge kous'!$B$3:$T$3,0)),"")</f>
        <v/>
      </c>
      <c r="O9" s="392">
        <f>IF(AND(ISNUMBER(K9),ISNUMBER(N9)),K9*N9,0)</f>
        <v/>
      </c>
      <c r="P9" s="392">
        <f>IF(ISNUMBER(C9),IFERROR(N(G9)*VLOOKUP(C9,Sundry!$A$4:$G$20,4,TRUE),0),0)</f>
        <v/>
      </c>
      <c r="Q9" s="392">
        <f>IF(ISNUMBER(C9),IFERROR(N(H9)*VLOOKUP(C9,Sundry!$A$4:$G$20,5,TRUE),0),0)</f>
        <v/>
      </c>
      <c r="R9" s="392">
        <f>IF(ISNUMBER(C9),IFERROR(N(I9)*VLOOKUP(C9,Sundry!$A$4:$G$20,3,TRUE),0),0)</f>
        <v/>
      </c>
      <c r="S9" s="392">
        <f>IF(AND(ISNUMBER(C9),ISNUMBER(E9),UPPER(J9)="N",E9&lt;VLOOKUP(C9,Sundry!$A$4:$G$20,7,TRUE)),VLOOKUP(C9,Sundry!$A$4:$G$20,6,TRUE),0)</f>
        <v/>
      </c>
      <c r="T9" s="393">
        <f>M9+O9+P9+Q9+R9+S9</f>
        <v/>
      </c>
    </row>
    <row r="10">
      <c r="A10" s="388" t="inlineStr">
        <is>
          <t>506</t>
        </is>
      </c>
      <c r="B10" s="388" t="inlineStr">
        <is>
          <t>van rijswijckschans, 18D0459</t>
        </is>
      </c>
      <c r="C10" s="389" t="n">
        <v>250</v>
      </c>
      <c r="D10" s="389" t="n">
        <v>6</v>
      </c>
      <c r="E10" s="390" t="n">
        <v>42.1</v>
      </c>
      <c r="F10" s="391" t="n">
        <v>4.35</v>
      </c>
      <c r="G10" s="306" t="n">
        <v>1</v>
      </c>
      <c r="H10" s="306" t="n">
        <v>1</v>
      </c>
      <c r="I10" s="306" t="n">
        <v>0</v>
      </c>
      <c r="J10" s="306" t="inlineStr">
        <is>
          <t>J</t>
        </is>
      </c>
      <c r="K10" s="392">
        <f>IF(ISNUMBER(E10),IF(ISNUMBER(F10),F10,Instellingen!$B$6)+Instellingen!$B$5,"")</f>
        <v/>
      </c>
      <c r="L10" s="392">
        <f>IFERROR(INDEX(Impregnatie!$B$4:$O$25,MATCH(C10,Impregnatie!$A$4:$A$25,0),MATCH(D10,Impregnatie!$B$3:$O$3,0))*(1+Instellingen!$B$4),"")</f>
        <v/>
      </c>
      <c r="M10" s="392">
        <f>IF(AND(ISNUMBER(E10),ISNUMBER(L10)),E10*L10,0)</f>
        <v/>
      </c>
      <c r="N10" s="392">
        <f>IFERROR(INDEX('Droge kous'!$B$4:$T$33,MATCH(C10,'Droge kous'!$A$4:$A$33,0),MATCH(D10,'Droge kous'!$B$3:$T$3,0)),"")</f>
        <v/>
      </c>
      <c r="O10" s="392">
        <f>IF(AND(ISNUMBER(K10),ISNUMBER(N10)),K10*N10,0)</f>
        <v/>
      </c>
      <c r="P10" s="392">
        <f>IF(ISNUMBER(C10),IFERROR(N(G10)*VLOOKUP(C10,Sundry!$A$4:$G$20,4,TRUE),0),0)</f>
        <v/>
      </c>
      <c r="Q10" s="392">
        <f>IF(ISNUMBER(C10),IFERROR(N(H10)*VLOOKUP(C10,Sundry!$A$4:$G$20,5,TRUE),0),0)</f>
        <v/>
      </c>
      <c r="R10" s="392">
        <f>IF(ISNUMBER(C10),IFERROR(N(I10)*VLOOKUP(C10,Sundry!$A$4:$G$20,3,TRUE),0),0)</f>
        <v/>
      </c>
      <c r="S10" s="392">
        <f>IF(AND(ISNUMBER(C10),ISNUMBER(E10),UPPER(J10)="N",E10&lt;VLOOKUP(C10,Sundry!$A$4:$G$20,7,TRUE)),VLOOKUP(C10,Sundry!$A$4:$G$20,6,TRUE),0)</f>
        <v/>
      </c>
      <c r="T10" s="393">
        <f>M10+O10+P10+Q10+R10+S10</f>
        <v/>
      </c>
    </row>
    <row r="11">
      <c r="A11" s="388" t="inlineStr">
        <is>
          <t>507</t>
        </is>
      </c>
      <c r="B11" s="388" t="inlineStr">
        <is>
          <t>van rijswijckschans, 18D0456</t>
        </is>
      </c>
      <c r="C11" s="389" t="n">
        <v>250</v>
      </c>
      <c r="D11" s="389" t="n">
        <v>6</v>
      </c>
      <c r="E11" s="390" t="n">
        <v>35.4</v>
      </c>
      <c r="F11" s="391" t="n">
        <v>4.61</v>
      </c>
      <c r="G11" s="306" t="n">
        <v>1</v>
      </c>
      <c r="H11" s="306" t="n">
        <v>1</v>
      </c>
      <c r="I11" s="306" t="n">
        <v>0</v>
      </c>
      <c r="J11" s="306" t="inlineStr">
        <is>
          <t>J</t>
        </is>
      </c>
      <c r="K11" s="392">
        <f>IF(ISNUMBER(E11),IF(ISNUMBER(F11),F11,Instellingen!$B$6)+Instellingen!$B$5,"")</f>
        <v/>
      </c>
      <c r="L11" s="392">
        <f>IFERROR(INDEX(Impregnatie!$B$4:$O$25,MATCH(C11,Impregnatie!$A$4:$A$25,0),MATCH(D11,Impregnatie!$B$3:$O$3,0))*(1+Instellingen!$B$4),"")</f>
        <v/>
      </c>
      <c r="M11" s="392">
        <f>IF(AND(ISNUMBER(E11),ISNUMBER(L11)),E11*L11,0)</f>
        <v/>
      </c>
      <c r="N11" s="392">
        <f>IFERROR(INDEX('Droge kous'!$B$4:$T$33,MATCH(C11,'Droge kous'!$A$4:$A$33,0),MATCH(D11,'Droge kous'!$B$3:$T$3,0)),"")</f>
        <v/>
      </c>
      <c r="O11" s="392">
        <f>IF(AND(ISNUMBER(K11),ISNUMBER(N11)),K11*N11,0)</f>
        <v/>
      </c>
      <c r="P11" s="392">
        <f>IF(ISNUMBER(C11),IFERROR(N(G11)*VLOOKUP(C11,Sundry!$A$4:$G$20,4,TRUE),0),0)</f>
        <v/>
      </c>
      <c r="Q11" s="392">
        <f>IF(ISNUMBER(C11),IFERROR(N(H11)*VLOOKUP(C11,Sundry!$A$4:$G$20,5,TRUE),0),0)</f>
        <v/>
      </c>
      <c r="R11" s="392">
        <f>IF(ISNUMBER(C11),IFERROR(N(I11)*VLOOKUP(C11,Sundry!$A$4:$G$20,3,TRUE),0),0)</f>
        <v/>
      </c>
      <c r="S11" s="392">
        <f>IF(AND(ISNUMBER(C11),ISNUMBER(E11),UPPER(J11)="N",E11&lt;VLOOKUP(C11,Sundry!$A$4:$G$20,7,TRUE)),VLOOKUP(C11,Sundry!$A$4:$G$20,6,TRUE),0)</f>
        <v/>
      </c>
      <c r="T11" s="393">
        <f>M11+O11+P11+Q11+R11+S11</f>
        <v/>
      </c>
    </row>
    <row r="12">
      <c r="A12" s="388" t="inlineStr">
        <is>
          <t>508</t>
        </is>
      </c>
      <c r="B12" s="388" t="inlineStr">
        <is>
          <t>offerhausschans, 18D0447</t>
        </is>
      </c>
      <c r="C12" s="389" t="n">
        <v>250</v>
      </c>
      <c r="D12" s="389" t="n">
        <v>6</v>
      </c>
      <c r="E12" s="390" t="n">
        <v>41.1</v>
      </c>
      <c r="F12" s="391" t="n">
        <v>4.29</v>
      </c>
      <c r="G12" s="306" t="n">
        <v>1</v>
      </c>
      <c r="H12" s="306" t="n">
        <v>1</v>
      </c>
      <c r="I12" s="306" t="n">
        <v>0</v>
      </c>
      <c r="J12" s="306" t="inlineStr">
        <is>
          <t>J</t>
        </is>
      </c>
      <c r="K12" s="392">
        <f>IF(ISNUMBER(E12),IF(ISNUMBER(F12),F12,Instellingen!$B$6)+Instellingen!$B$5,"")</f>
        <v/>
      </c>
      <c r="L12" s="392">
        <f>IFERROR(INDEX(Impregnatie!$B$4:$O$25,MATCH(C12,Impregnatie!$A$4:$A$25,0),MATCH(D12,Impregnatie!$B$3:$O$3,0))*(1+Instellingen!$B$4),"")</f>
        <v/>
      </c>
      <c r="M12" s="392">
        <f>IF(AND(ISNUMBER(E12),ISNUMBER(L12)),E12*L12,0)</f>
        <v/>
      </c>
      <c r="N12" s="392">
        <f>IFERROR(INDEX('Droge kous'!$B$4:$T$33,MATCH(C12,'Droge kous'!$A$4:$A$33,0),MATCH(D12,'Droge kous'!$B$3:$T$3,0)),"")</f>
        <v/>
      </c>
      <c r="O12" s="392">
        <f>IF(AND(ISNUMBER(K12),ISNUMBER(N12)),K12*N12,0)</f>
        <v/>
      </c>
      <c r="P12" s="392">
        <f>IF(ISNUMBER(C12),IFERROR(N(G12)*VLOOKUP(C12,Sundry!$A$4:$G$20,4,TRUE),0),0)</f>
        <v/>
      </c>
      <c r="Q12" s="392">
        <f>IF(ISNUMBER(C12),IFERROR(N(H12)*VLOOKUP(C12,Sundry!$A$4:$G$20,5,TRUE),0),0)</f>
        <v/>
      </c>
      <c r="R12" s="392">
        <f>IF(ISNUMBER(C12),IFERROR(N(I12)*VLOOKUP(C12,Sundry!$A$4:$G$20,3,TRUE),0),0)</f>
        <v/>
      </c>
      <c r="S12" s="392">
        <f>IF(AND(ISNUMBER(C12),ISNUMBER(E12),UPPER(J12)="N",E12&lt;VLOOKUP(C12,Sundry!$A$4:$G$20,7,TRUE)),VLOOKUP(C12,Sundry!$A$4:$G$20,6,TRUE),0)</f>
        <v/>
      </c>
      <c r="T12" s="393">
        <f>M12+O12+P12+Q12+R12+S12</f>
        <v/>
      </c>
    </row>
    <row r="13">
      <c r="A13" s="388" t="inlineStr">
        <is>
          <t>509</t>
        </is>
      </c>
      <c r="B13" s="388" t="inlineStr">
        <is>
          <t>pelschans, 18D0466</t>
        </is>
      </c>
      <c r="C13" s="389" t="n">
        <v>250</v>
      </c>
      <c r="D13" s="389" t="n">
        <v>6</v>
      </c>
      <c r="E13" s="390" t="n">
        <v>90.40000000000001</v>
      </c>
      <c r="F13" s="391" t="n">
        <v>4.47</v>
      </c>
      <c r="G13" s="306" t="n">
        <v>1</v>
      </c>
      <c r="H13" s="306" t="n">
        <v>1</v>
      </c>
      <c r="I13" s="306" t="n">
        <v>0</v>
      </c>
      <c r="J13" s="306" t="inlineStr">
        <is>
          <t>J</t>
        </is>
      </c>
      <c r="K13" s="392">
        <f>IF(ISNUMBER(E13),IF(ISNUMBER(F13),F13,Instellingen!$B$6)+Instellingen!$B$5,"")</f>
        <v/>
      </c>
      <c r="L13" s="392">
        <f>IFERROR(INDEX(Impregnatie!$B$4:$O$25,MATCH(C13,Impregnatie!$A$4:$A$25,0),MATCH(D13,Impregnatie!$B$3:$O$3,0))*(1+Instellingen!$B$4),"")</f>
        <v/>
      </c>
      <c r="M13" s="392">
        <f>IF(AND(ISNUMBER(E13),ISNUMBER(L13)),E13*L13,0)</f>
        <v/>
      </c>
      <c r="N13" s="392">
        <f>IFERROR(INDEX('Droge kous'!$B$4:$T$33,MATCH(C13,'Droge kous'!$A$4:$A$33,0),MATCH(D13,'Droge kous'!$B$3:$T$3,0)),"")</f>
        <v/>
      </c>
      <c r="O13" s="392">
        <f>IF(AND(ISNUMBER(K13),ISNUMBER(N13)),K13*N13,0)</f>
        <v/>
      </c>
      <c r="P13" s="392">
        <f>IF(ISNUMBER(C13),IFERROR(N(G13)*VLOOKUP(C13,Sundry!$A$4:$G$20,4,TRUE),0),0)</f>
        <v/>
      </c>
      <c r="Q13" s="392">
        <f>IF(ISNUMBER(C13),IFERROR(N(H13)*VLOOKUP(C13,Sundry!$A$4:$G$20,5,TRUE),0),0)</f>
        <v/>
      </c>
      <c r="R13" s="392">
        <f>IF(ISNUMBER(C13),IFERROR(N(I13)*VLOOKUP(C13,Sundry!$A$4:$G$20,3,TRUE),0),0)</f>
        <v/>
      </c>
      <c r="S13" s="392">
        <f>IF(AND(ISNUMBER(C13),ISNUMBER(E13),UPPER(J13)="N",E13&lt;VLOOKUP(C13,Sundry!$A$4:$G$20,7,TRUE)),VLOOKUP(C13,Sundry!$A$4:$G$20,6,TRUE),0)</f>
        <v/>
      </c>
      <c r="T13" s="393">
        <f>M13+O13+P13+Q13+R13+S13</f>
        <v/>
      </c>
    </row>
    <row r="14">
      <c r="A14" s="388" t="inlineStr">
        <is>
          <t>510</t>
        </is>
      </c>
      <c r="B14" s="388" t="inlineStr">
        <is>
          <t>merkesschans, 18D0387</t>
        </is>
      </c>
      <c r="C14" s="389" t="n">
        <v>250</v>
      </c>
      <c r="D14" s="389" t="n">
        <v>6</v>
      </c>
      <c r="E14" s="390" t="n">
        <v>133.9</v>
      </c>
      <c r="F14" s="391" t="n">
        <v>4.8</v>
      </c>
      <c r="G14" s="306" t="n">
        <v>1</v>
      </c>
      <c r="H14" s="306" t="n">
        <v>1</v>
      </c>
      <c r="I14" s="306" t="n">
        <v>0</v>
      </c>
      <c r="J14" s="306" t="inlineStr">
        <is>
          <t>J</t>
        </is>
      </c>
      <c r="K14" s="392">
        <f>IF(ISNUMBER(E14),IF(ISNUMBER(F14),F14,Instellingen!$B$6)+Instellingen!$B$5,"")</f>
        <v/>
      </c>
      <c r="L14" s="392">
        <f>IFERROR(INDEX(Impregnatie!$B$4:$O$25,MATCH(C14,Impregnatie!$A$4:$A$25,0),MATCH(D14,Impregnatie!$B$3:$O$3,0))*(1+Instellingen!$B$4),"")</f>
        <v/>
      </c>
      <c r="M14" s="392">
        <f>IF(AND(ISNUMBER(E14),ISNUMBER(L14)),E14*L14,0)</f>
        <v/>
      </c>
      <c r="N14" s="392">
        <f>IFERROR(INDEX('Droge kous'!$B$4:$T$33,MATCH(C14,'Droge kous'!$A$4:$A$33,0),MATCH(D14,'Droge kous'!$B$3:$T$3,0)),"")</f>
        <v/>
      </c>
      <c r="O14" s="392">
        <f>IF(AND(ISNUMBER(K14),ISNUMBER(N14)),K14*N14,0)</f>
        <v/>
      </c>
      <c r="P14" s="392">
        <f>IF(ISNUMBER(C14),IFERROR(N(G14)*VLOOKUP(C14,Sundry!$A$4:$G$20,4,TRUE),0),0)</f>
        <v/>
      </c>
      <c r="Q14" s="392">
        <f>IF(ISNUMBER(C14),IFERROR(N(H14)*VLOOKUP(C14,Sundry!$A$4:$G$20,5,TRUE),0),0)</f>
        <v/>
      </c>
      <c r="R14" s="392">
        <f>IF(ISNUMBER(C14),IFERROR(N(I14)*VLOOKUP(C14,Sundry!$A$4:$G$20,3,TRUE),0),0)</f>
        <v/>
      </c>
      <c r="S14" s="392">
        <f>IF(AND(ISNUMBER(C14),ISNUMBER(E14),UPPER(J14)="N",E14&lt;VLOOKUP(C14,Sundry!$A$4:$G$20,7,TRUE)),VLOOKUP(C14,Sundry!$A$4:$G$20,6,TRUE),0)</f>
        <v/>
      </c>
      <c r="T14" s="393">
        <f>M14+O14+P14+Q14+R14+S14</f>
        <v/>
      </c>
    </row>
    <row r="15">
      <c r="A15" s="388" t="inlineStr">
        <is>
          <t>511</t>
        </is>
      </c>
      <c r="B15" s="388" t="inlineStr">
        <is>
          <t>klinckaertschans, 18D0401</t>
        </is>
      </c>
      <c r="C15" s="389" t="n">
        <v>250</v>
      </c>
      <c r="D15" s="389" t="n">
        <v>6</v>
      </c>
      <c r="E15" s="390" t="n">
        <v>92.3</v>
      </c>
      <c r="F15" s="391" t="n">
        <v>4.36</v>
      </c>
      <c r="G15" s="306" t="n">
        <v>1</v>
      </c>
      <c r="H15" s="306" t="n">
        <v>1</v>
      </c>
      <c r="I15" s="306" t="n">
        <v>0</v>
      </c>
      <c r="J15" s="306" t="inlineStr">
        <is>
          <t>J</t>
        </is>
      </c>
      <c r="K15" s="392">
        <f>IF(ISNUMBER(E15),IF(ISNUMBER(F15),F15,Instellingen!$B$6)+Instellingen!$B$5,"")</f>
        <v/>
      </c>
      <c r="L15" s="392">
        <f>IFERROR(INDEX(Impregnatie!$B$4:$O$25,MATCH(C15,Impregnatie!$A$4:$A$25,0),MATCH(D15,Impregnatie!$B$3:$O$3,0))*(1+Instellingen!$B$4),"")</f>
        <v/>
      </c>
      <c r="M15" s="392">
        <f>IF(AND(ISNUMBER(E15),ISNUMBER(L15)),E15*L15,0)</f>
        <v/>
      </c>
      <c r="N15" s="392">
        <f>IFERROR(INDEX('Droge kous'!$B$4:$T$33,MATCH(C15,'Droge kous'!$A$4:$A$33,0),MATCH(D15,'Droge kous'!$B$3:$T$3,0)),"")</f>
        <v/>
      </c>
      <c r="O15" s="392">
        <f>IF(AND(ISNUMBER(K15),ISNUMBER(N15)),K15*N15,0)</f>
        <v/>
      </c>
      <c r="P15" s="392">
        <f>IF(ISNUMBER(C15),IFERROR(N(G15)*VLOOKUP(C15,Sundry!$A$4:$G$20,4,TRUE),0),0)</f>
        <v/>
      </c>
      <c r="Q15" s="392">
        <f>IF(ISNUMBER(C15),IFERROR(N(H15)*VLOOKUP(C15,Sundry!$A$4:$G$20,5,TRUE),0),0)</f>
        <v/>
      </c>
      <c r="R15" s="392">
        <f>IF(ISNUMBER(C15),IFERROR(N(I15)*VLOOKUP(C15,Sundry!$A$4:$G$20,3,TRUE),0),0)</f>
        <v/>
      </c>
      <c r="S15" s="392">
        <f>IF(AND(ISNUMBER(C15),ISNUMBER(E15),UPPER(J15)="N",E15&lt;VLOOKUP(C15,Sundry!$A$4:$G$20,7,TRUE)),VLOOKUP(C15,Sundry!$A$4:$G$20,6,TRUE),0)</f>
        <v/>
      </c>
      <c r="T15" s="393">
        <f>M15+O15+P15+Q15+R15+S15</f>
        <v/>
      </c>
    </row>
    <row r="16">
      <c r="A16" s="388" t="inlineStr">
        <is>
          <t>512</t>
        </is>
      </c>
      <c r="B16" s="388" t="inlineStr">
        <is>
          <t>lijnbaan, 18D0138</t>
        </is>
      </c>
      <c r="C16" s="389" t="n">
        <v>250</v>
      </c>
      <c r="D16" s="389" t="n">
        <v>6</v>
      </c>
      <c r="E16" s="390" t="n">
        <v>124.6</v>
      </c>
      <c r="F16" s="391" t="n">
        <v>4.6</v>
      </c>
      <c r="G16" s="306" t="n">
        <v>1</v>
      </c>
      <c r="H16" s="306" t="n">
        <v>1</v>
      </c>
      <c r="I16" s="306" t="n">
        <v>0</v>
      </c>
      <c r="J16" s="306" t="inlineStr">
        <is>
          <t>J</t>
        </is>
      </c>
      <c r="K16" s="392">
        <f>IF(ISNUMBER(E16),IF(ISNUMBER(F16),F16,Instellingen!$B$6)+Instellingen!$B$5,"")</f>
        <v/>
      </c>
      <c r="L16" s="392">
        <f>IFERROR(INDEX(Impregnatie!$B$4:$O$25,MATCH(C16,Impregnatie!$A$4:$A$25,0),MATCH(D16,Impregnatie!$B$3:$O$3,0))*(1+Instellingen!$B$4),"")</f>
        <v/>
      </c>
      <c r="M16" s="392">
        <f>IF(AND(ISNUMBER(E16),ISNUMBER(L16)),E16*L16,0)</f>
        <v/>
      </c>
      <c r="N16" s="392">
        <f>IFERROR(INDEX('Droge kous'!$B$4:$T$33,MATCH(C16,'Droge kous'!$A$4:$A$33,0),MATCH(D16,'Droge kous'!$B$3:$T$3,0)),"")</f>
        <v/>
      </c>
      <c r="O16" s="392">
        <f>IF(AND(ISNUMBER(K16),ISNUMBER(N16)),K16*N16,0)</f>
        <v/>
      </c>
      <c r="P16" s="392">
        <f>IF(ISNUMBER(C16),IFERROR(N(G16)*VLOOKUP(C16,Sundry!$A$4:$G$20,4,TRUE),0),0)</f>
        <v/>
      </c>
      <c r="Q16" s="392">
        <f>IF(ISNUMBER(C16),IFERROR(N(H16)*VLOOKUP(C16,Sundry!$A$4:$G$20,5,TRUE),0),0)</f>
        <v/>
      </c>
      <c r="R16" s="392">
        <f>IF(ISNUMBER(C16),IFERROR(N(I16)*VLOOKUP(C16,Sundry!$A$4:$G$20,3,TRUE),0),0)</f>
        <v/>
      </c>
      <c r="S16" s="392">
        <f>IF(AND(ISNUMBER(C16),ISNUMBER(E16),UPPER(J16)="N",E16&lt;VLOOKUP(C16,Sundry!$A$4:$G$20,7,TRUE)),VLOOKUP(C16,Sundry!$A$4:$G$20,6,TRUE),0)</f>
        <v/>
      </c>
      <c r="T16" s="393">
        <f>M16+O16+P16+Q16+R16+S16</f>
        <v/>
      </c>
    </row>
    <row r="17">
      <c r="A17" s="388" t="inlineStr">
        <is>
          <t>513</t>
        </is>
      </c>
      <c r="B17" s="388" t="inlineStr">
        <is>
          <t>van embdenruimte, 18D0138</t>
        </is>
      </c>
      <c r="C17" s="389" t="n">
        <v>250</v>
      </c>
      <c r="D17" s="389" t="n">
        <v>6</v>
      </c>
      <c r="E17" s="390" t="n">
        <v>67</v>
      </c>
      <c r="F17" s="391" t="n">
        <v>4.6</v>
      </c>
      <c r="G17" s="306" t="n">
        <v>1</v>
      </c>
      <c r="H17" s="306" t="n">
        <v>1</v>
      </c>
      <c r="I17" s="306" t="n">
        <v>0</v>
      </c>
      <c r="J17" s="306" t="inlineStr">
        <is>
          <t>J</t>
        </is>
      </c>
      <c r="K17" s="392">
        <f>IF(ISNUMBER(E17),IF(ISNUMBER(F17),F17,Instellingen!$B$6)+Instellingen!$B$5,"")</f>
        <v/>
      </c>
      <c r="L17" s="392">
        <f>IFERROR(INDEX(Impregnatie!$B$4:$O$25,MATCH(C17,Impregnatie!$A$4:$A$25,0),MATCH(D17,Impregnatie!$B$3:$O$3,0))*(1+Instellingen!$B$4),"")</f>
        <v/>
      </c>
      <c r="M17" s="392">
        <f>IF(AND(ISNUMBER(E17),ISNUMBER(L17)),E17*L17,0)</f>
        <v/>
      </c>
      <c r="N17" s="392">
        <f>IFERROR(INDEX('Droge kous'!$B$4:$T$33,MATCH(C17,'Droge kous'!$A$4:$A$33,0),MATCH(D17,'Droge kous'!$B$3:$T$3,0)),"")</f>
        <v/>
      </c>
      <c r="O17" s="392">
        <f>IF(AND(ISNUMBER(K17),ISNUMBER(N17)),K17*N17,0)</f>
        <v/>
      </c>
      <c r="P17" s="392">
        <f>IF(ISNUMBER(C17),IFERROR(N(G17)*VLOOKUP(C17,Sundry!$A$4:$G$20,4,TRUE),0),0)</f>
        <v/>
      </c>
      <c r="Q17" s="392">
        <f>IF(ISNUMBER(C17),IFERROR(N(H17)*VLOOKUP(C17,Sundry!$A$4:$G$20,5,TRUE),0),0)</f>
        <v/>
      </c>
      <c r="R17" s="392">
        <f>IF(ISNUMBER(C17),IFERROR(N(I17)*VLOOKUP(C17,Sundry!$A$4:$G$20,3,TRUE),0),0)</f>
        <v/>
      </c>
      <c r="S17" s="392">
        <f>IF(AND(ISNUMBER(C17),ISNUMBER(E17),UPPER(J17)="N",E17&lt;VLOOKUP(C17,Sundry!$A$4:$G$20,7,TRUE)),VLOOKUP(C17,Sundry!$A$4:$G$20,6,TRUE),0)</f>
        <v/>
      </c>
      <c r="T17" s="393">
        <f>M17+O17+P17+Q17+R17+S17</f>
        <v/>
      </c>
    </row>
    <row r="18">
      <c r="A18" s="388" t="inlineStr">
        <is>
          <t>514</t>
        </is>
      </c>
      <c r="B18" s="388" t="inlineStr">
        <is>
          <t>van embdenruimte, 18D0130</t>
        </is>
      </c>
      <c r="C18" s="389" t="n">
        <v>250</v>
      </c>
      <c r="D18" s="389" t="n">
        <v>6</v>
      </c>
      <c r="E18" s="390" t="n">
        <v>120</v>
      </c>
      <c r="F18" s="391" t="n">
        <v>4.92</v>
      </c>
      <c r="G18" s="306" t="n">
        <v>1</v>
      </c>
      <c r="H18" s="306" t="n">
        <v>1</v>
      </c>
      <c r="I18" s="306" t="n">
        <v>0</v>
      </c>
      <c r="J18" s="306" t="inlineStr">
        <is>
          <t>J</t>
        </is>
      </c>
      <c r="K18" s="392">
        <f>IF(ISNUMBER(E18),IF(ISNUMBER(F18),F18,Instellingen!$B$6)+Instellingen!$B$5,"")</f>
        <v/>
      </c>
      <c r="L18" s="392">
        <f>IFERROR(INDEX(Impregnatie!$B$4:$O$25,MATCH(C18,Impregnatie!$A$4:$A$25,0),MATCH(D18,Impregnatie!$B$3:$O$3,0))*(1+Instellingen!$B$4),"")</f>
        <v/>
      </c>
      <c r="M18" s="392">
        <f>IF(AND(ISNUMBER(E18),ISNUMBER(L18)),E18*L18,0)</f>
        <v/>
      </c>
      <c r="N18" s="392">
        <f>IFERROR(INDEX('Droge kous'!$B$4:$T$33,MATCH(C18,'Droge kous'!$A$4:$A$33,0),MATCH(D18,'Droge kous'!$B$3:$T$3,0)),"")</f>
        <v/>
      </c>
      <c r="O18" s="392">
        <f>IF(AND(ISNUMBER(K18),ISNUMBER(N18)),K18*N18,0)</f>
        <v/>
      </c>
      <c r="P18" s="392">
        <f>IF(ISNUMBER(C18),IFERROR(N(G18)*VLOOKUP(C18,Sundry!$A$4:$G$20,4,TRUE),0),0)</f>
        <v/>
      </c>
      <c r="Q18" s="392">
        <f>IF(ISNUMBER(C18),IFERROR(N(H18)*VLOOKUP(C18,Sundry!$A$4:$G$20,5,TRUE),0),0)</f>
        <v/>
      </c>
      <c r="R18" s="392">
        <f>IF(ISNUMBER(C18),IFERROR(N(I18)*VLOOKUP(C18,Sundry!$A$4:$G$20,3,TRUE),0),0)</f>
        <v/>
      </c>
      <c r="S18" s="392">
        <f>IF(AND(ISNUMBER(C18),ISNUMBER(E18),UPPER(J18)="N",E18&lt;VLOOKUP(C18,Sundry!$A$4:$G$20,7,TRUE)),VLOOKUP(C18,Sundry!$A$4:$G$20,6,TRUE),0)</f>
        <v/>
      </c>
      <c r="T18" s="393">
        <f>M18+O18+P18+Q18+R18+S18</f>
        <v/>
      </c>
    </row>
    <row r="19">
      <c r="A19" s="388" t="inlineStr">
        <is>
          <t>515</t>
        </is>
      </c>
      <c r="B19" s="388" t="inlineStr">
        <is>
          <t>griffinruimte, 18D0129</t>
        </is>
      </c>
      <c r="C19" s="389" t="n">
        <v>250</v>
      </c>
      <c r="D19" s="389" t="n">
        <v>6</v>
      </c>
      <c r="E19" s="390" t="n">
        <v>66.09999999999999</v>
      </c>
      <c r="F19" s="391" t="n">
        <v>4.67</v>
      </c>
      <c r="G19" s="306" t="n">
        <v>1</v>
      </c>
      <c r="H19" s="306" t="n">
        <v>1</v>
      </c>
      <c r="I19" s="306" t="n">
        <v>0</v>
      </c>
      <c r="J19" s="306" t="inlineStr">
        <is>
          <t>J</t>
        </is>
      </c>
      <c r="K19" s="392">
        <f>IF(ISNUMBER(E19),IF(ISNUMBER(F19),F19,Instellingen!$B$6)+Instellingen!$B$5,"")</f>
        <v/>
      </c>
      <c r="L19" s="392">
        <f>IFERROR(INDEX(Impregnatie!$B$4:$O$25,MATCH(C19,Impregnatie!$A$4:$A$25,0),MATCH(D19,Impregnatie!$B$3:$O$3,0))*(1+Instellingen!$B$4),"")</f>
        <v/>
      </c>
      <c r="M19" s="392">
        <f>IF(AND(ISNUMBER(E19),ISNUMBER(L19)),E19*L19,0)</f>
        <v/>
      </c>
      <c r="N19" s="392">
        <f>IFERROR(INDEX('Droge kous'!$B$4:$T$33,MATCH(C19,'Droge kous'!$A$4:$A$33,0),MATCH(D19,'Droge kous'!$B$3:$T$3,0)),"")</f>
        <v/>
      </c>
      <c r="O19" s="392">
        <f>IF(AND(ISNUMBER(K19),ISNUMBER(N19)),K19*N19,0)</f>
        <v/>
      </c>
      <c r="P19" s="392">
        <f>IF(ISNUMBER(C19),IFERROR(N(G19)*VLOOKUP(C19,Sundry!$A$4:$G$20,4,TRUE),0),0)</f>
        <v/>
      </c>
      <c r="Q19" s="392">
        <f>IF(ISNUMBER(C19),IFERROR(N(H19)*VLOOKUP(C19,Sundry!$A$4:$G$20,5,TRUE),0),0)</f>
        <v/>
      </c>
      <c r="R19" s="392">
        <f>IF(ISNUMBER(C19),IFERROR(N(I19)*VLOOKUP(C19,Sundry!$A$4:$G$20,3,TRUE),0),0)</f>
        <v/>
      </c>
      <c r="S19" s="392">
        <f>IF(AND(ISNUMBER(C19),ISNUMBER(E19),UPPER(J19)="N",E19&lt;VLOOKUP(C19,Sundry!$A$4:$G$20,7,TRUE)),VLOOKUP(C19,Sundry!$A$4:$G$20,6,TRUE),0)</f>
        <v/>
      </c>
      <c r="T19" s="393">
        <f>M19+O19+P19+Q19+R19+S19</f>
        <v/>
      </c>
    </row>
    <row r="20">
      <c r="A20" s="388" t="inlineStr">
        <is>
          <t>516</t>
        </is>
      </c>
      <c r="B20" s="388" t="inlineStr">
        <is>
          <t>de boomgaard, 18D0549</t>
        </is>
      </c>
      <c r="C20" s="389" t="n">
        <v>250</v>
      </c>
      <c r="D20" s="389" t="n">
        <v>6</v>
      </c>
      <c r="E20" s="390" t="n">
        <v>14.2</v>
      </c>
      <c r="F20" s="391" t="n">
        <v>6.15</v>
      </c>
      <c r="G20" s="306" t="n">
        <v>1</v>
      </c>
      <c r="H20" s="306" t="n">
        <v>1</v>
      </c>
      <c r="I20" s="306" t="n">
        <v>0</v>
      </c>
      <c r="J20" s="306" t="inlineStr">
        <is>
          <t>J</t>
        </is>
      </c>
      <c r="K20" s="392">
        <f>IF(ISNUMBER(E20),IF(ISNUMBER(F20),F20,Instellingen!$B$6)+Instellingen!$B$5,"")</f>
        <v/>
      </c>
      <c r="L20" s="392">
        <f>IFERROR(INDEX(Impregnatie!$B$4:$O$25,MATCH(C20,Impregnatie!$A$4:$A$25,0),MATCH(D20,Impregnatie!$B$3:$O$3,0))*(1+Instellingen!$B$4),"")</f>
        <v/>
      </c>
      <c r="M20" s="392">
        <f>IF(AND(ISNUMBER(E20),ISNUMBER(L20)),E20*L20,0)</f>
        <v/>
      </c>
      <c r="N20" s="392">
        <f>IFERROR(INDEX('Droge kous'!$B$4:$T$33,MATCH(C20,'Droge kous'!$A$4:$A$33,0),MATCH(D20,'Droge kous'!$B$3:$T$3,0)),"")</f>
        <v/>
      </c>
      <c r="O20" s="392">
        <f>IF(AND(ISNUMBER(K20),ISNUMBER(N20)),K20*N20,0)</f>
        <v/>
      </c>
      <c r="P20" s="392">
        <f>IF(ISNUMBER(C20),IFERROR(N(G20)*VLOOKUP(C20,Sundry!$A$4:$G$20,4,TRUE),0),0)</f>
        <v/>
      </c>
      <c r="Q20" s="392">
        <f>IF(ISNUMBER(C20),IFERROR(N(H20)*VLOOKUP(C20,Sundry!$A$4:$G$20,5,TRUE),0),0)</f>
        <v/>
      </c>
      <c r="R20" s="392">
        <f>IF(ISNUMBER(C20),IFERROR(N(I20)*VLOOKUP(C20,Sundry!$A$4:$G$20,3,TRUE),0),0)</f>
        <v/>
      </c>
      <c r="S20" s="392">
        <f>IF(AND(ISNUMBER(C20),ISNUMBER(E20),UPPER(J20)="N",E20&lt;VLOOKUP(C20,Sundry!$A$4:$G$20,7,TRUE)),VLOOKUP(C20,Sundry!$A$4:$G$20,6,TRUE),0)</f>
        <v/>
      </c>
      <c r="T20" s="393">
        <f>M20+O20+P20+Q20+R20+S20</f>
        <v/>
      </c>
    </row>
    <row r="21">
      <c r="A21" s="388" t="inlineStr">
        <is>
          <t>517</t>
        </is>
      </c>
      <c r="B21" s="388" t="inlineStr">
        <is>
          <t>schansbaan, 18D0549</t>
        </is>
      </c>
      <c r="C21" s="389" t="n">
        <v>250</v>
      </c>
      <c r="D21" s="389" t="n">
        <v>6</v>
      </c>
      <c r="E21" s="390" t="n">
        <v>49.2</v>
      </c>
      <c r="F21" s="391" t="n">
        <v>6.15</v>
      </c>
      <c r="G21" s="306" t="n">
        <v>1</v>
      </c>
      <c r="H21" s="306" t="n">
        <v>1</v>
      </c>
      <c r="I21" s="306" t="n">
        <v>0</v>
      </c>
      <c r="J21" s="306" t="inlineStr">
        <is>
          <t>J</t>
        </is>
      </c>
      <c r="K21" s="392">
        <f>IF(ISNUMBER(E21),IF(ISNUMBER(F21),F21,Instellingen!$B$6)+Instellingen!$B$5,"")</f>
        <v/>
      </c>
      <c r="L21" s="392">
        <f>IFERROR(INDEX(Impregnatie!$B$4:$O$25,MATCH(C21,Impregnatie!$A$4:$A$25,0),MATCH(D21,Impregnatie!$B$3:$O$3,0))*(1+Instellingen!$B$4),"")</f>
        <v/>
      </c>
      <c r="M21" s="392">
        <f>IF(AND(ISNUMBER(E21),ISNUMBER(L21)),E21*L21,0)</f>
        <v/>
      </c>
      <c r="N21" s="392">
        <f>IFERROR(INDEX('Droge kous'!$B$4:$T$33,MATCH(C21,'Droge kous'!$A$4:$A$33,0),MATCH(D21,'Droge kous'!$B$3:$T$3,0)),"")</f>
        <v/>
      </c>
      <c r="O21" s="392">
        <f>IF(AND(ISNUMBER(K21),ISNUMBER(N21)),K21*N21,0)</f>
        <v/>
      </c>
      <c r="P21" s="392">
        <f>IF(ISNUMBER(C21),IFERROR(N(G21)*VLOOKUP(C21,Sundry!$A$4:$G$20,4,TRUE),0),0)</f>
        <v/>
      </c>
      <c r="Q21" s="392">
        <f>IF(ISNUMBER(C21),IFERROR(N(H21)*VLOOKUP(C21,Sundry!$A$4:$G$20,5,TRUE),0),0)</f>
        <v/>
      </c>
      <c r="R21" s="392">
        <f>IF(ISNUMBER(C21),IFERROR(N(I21)*VLOOKUP(C21,Sundry!$A$4:$G$20,3,TRUE),0),0)</f>
        <v/>
      </c>
      <c r="S21" s="392">
        <f>IF(AND(ISNUMBER(C21),ISNUMBER(E21),UPPER(J21)="N",E21&lt;VLOOKUP(C21,Sundry!$A$4:$G$20,7,TRUE)),VLOOKUP(C21,Sundry!$A$4:$G$20,6,TRUE),0)</f>
        <v/>
      </c>
      <c r="T21" s="393">
        <f>M21+O21+P21+Q21+R21+S21</f>
        <v/>
      </c>
    </row>
    <row r="22">
      <c r="A22" s="388" t="inlineStr">
        <is>
          <t>518</t>
        </is>
      </c>
      <c r="B22" s="388" t="inlineStr">
        <is>
          <t>goudreinethof, 18D0493</t>
        </is>
      </c>
      <c r="C22" s="389" t="n">
        <v>300</v>
      </c>
      <c r="D22" s="389" t="n">
        <v>7.5</v>
      </c>
      <c r="E22" s="390" t="n">
        <v>54.3</v>
      </c>
      <c r="F22" s="391" t="n">
        <v>6.31</v>
      </c>
      <c r="G22" s="306" t="n">
        <v>1</v>
      </c>
      <c r="H22" s="306" t="n">
        <v>1</v>
      </c>
      <c r="I22" s="306" t="n">
        <v>0</v>
      </c>
      <c r="J22" s="306" t="inlineStr">
        <is>
          <t>J</t>
        </is>
      </c>
      <c r="K22" s="392">
        <f>IF(ISNUMBER(E22),IF(ISNUMBER(F22),F22,Instellingen!$B$6)+Instellingen!$B$5,"")</f>
        <v/>
      </c>
      <c r="L22" s="392">
        <f>IFERROR(INDEX(Impregnatie!$B$4:$O$25,MATCH(C22,Impregnatie!$A$4:$A$25,0),MATCH(D22,Impregnatie!$B$3:$O$3,0))*(1+Instellingen!$B$4),"")</f>
        <v/>
      </c>
      <c r="M22" s="392">
        <f>IF(AND(ISNUMBER(E22),ISNUMBER(L22)),E22*L22,0)</f>
        <v/>
      </c>
      <c r="N22" s="392">
        <f>IFERROR(INDEX('Droge kous'!$B$4:$T$33,MATCH(C22,'Droge kous'!$A$4:$A$33,0),MATCH(D22,'Droge kous'!$B$3:$T$3,0)),"")</f>
        <v/>
      </c>
      <c r="O22" s="392">
        <f>IF(AND(ISNUMBER(K22),ISNUMBER(N22)),K22*N22,0)</f>
        <v/>
      </c>
      <c r="P22" s="392">
        <f>IF(ISNUMBER(C22),IFERROR(N(G22)*VLOOKUP(C22,Sundry!$A$4:$G$20,4,TRUE),0),0)</f>
        <v/>
      </c>
      <c r="Q22" s="392">
        <f>IF(ISNUMBER(C22),IFERROR(N(H22)*VLOOKUP(C22,Sundry!$A$4:$G$20,5,TRUE),0),0)</f>
        <v/>
      </c>
      <c r="R22" s="392">
        <f>IF(ISNUMBER(C22),IFERROR(N(I22)*VLOOKUP(C22,Sundry!$A$4:$G$20,3,TRUE),0),0)</f>
        <v/>
      </c>
      <c r="S22" s="392">
        <f>IF(AND(ISNUMBER(C22),ISNUMBER(E22),UPPER(J22)="N",E22&lt;VLOOKUP(C22,Sundry!$A$4:$G$20,7,TRUE)),VLOOKUP(C22,Sundry!$A$4:$G$20,6,TRUE),0)</f>
        <v/>
      </c>
      <c r="T22" s="393">
        <f>M22+O22+P22+Q22+R22+S22</f>
        <v/>
      </c>
    </row>
    <row r="23">
      <c r="A23" s="388" t="inlineStr">
        <is>
          <t>519</t>
        </is>
      </c>
      <c r="B23" s="388" t="inlineStr">
        <is>
          <t>calandschans, 18D0351</t>
        </is>
      </c>
      <c r="C23" s="389" t="n">
        <v>250</v>
      </c>
      <c r="D23" s="389" t="n">
        <v>6</v>
      </c>
      <c r="E23" s="390" t="n">
        <v>123.6</v>
      </c>
      <c r="F23" s="391" t="n">
        <v>5.19</v>
      </c>
      <c r="G23" s="306" t="n">
        <v>1</v>
      </c>
      <c r="H23" s="306" t="n">
        <v>1</v>
      </c>
      <c r="I23" s="306" t="n">
        <v>0</v>
      </c>
      <c r="J23" s="306" t="inlineStr">
        <is>
          <t>J</t>
        </is>
      </c>
      <c r="K23" s="392">
        <f>IF(ISNUMBER(E23),IF(ISNUMBER(F23),F23,Instellingen!$B$6)+Instellingen!$B$5,"")</f>
        <v/>
      </c>
      <c r="L23" s="392">
        <f>IFERROR(INDEX(Impregnatie!$B$4:$O$25,MATCH(C23,Impregnatie!$A$4:$A$25,0),MATCH(D23,Impregnatie!$B$3:$O$3,0))*(1+Instellingen!$B$4),"")</f>
        <v/>
      </c>
      <c r="M23" s="392">
        <f>IF(AND(ISNUMBER(E23),ISNUMBER(L23)),E23*L23,0)</f>
        <v/>
      </c>
      <c r="N23" s="392">
        <f>IFERROR(INDEX('Droge kous'!$B$4:$T$33,MATCH(C23,'Droge kous'!$A$4:$A$33,0),MATCH(D23,'Droge kous'!$B$3:$T$3,0)),"")</f>
        <v/>
      </c>
      <c r="O23" s="392">
        <f>IF(AND(ISNUMBER(K23),ISNUMBER(N23)),K23*N23,0)</f>
        <v/>
      </c>
      <c r="P23" s="392">
        <f>IF(ISNUMBER(C23),IFERROR(N(G23)*VLOOKUP(C23,Sundry!$A$4:$G$20,4,TRUE),0),0)</f>
        <v/>
      </c>
      <c r="Q23" s="392">
        <f>IF(ISNUMBER(C23),IFERROR(N(H23)*VLOOKUP(C23,Sundry!$A$4:$G$20,5,TRUE),0),0)</f>
        <v/>
      </c>
      <c r="R23" s="392">
        <f>IF(ISNUMBER(C23),IFERROR(N(I23)*VLOOKUP(C23,Sundry!$A$4:$G$20,3,TRUE),0),0)</f>
        <v/>
      </c>
      <c r="S23" s="392">
        <f>IF(AND(ISNUMBER(C23),ISNUMBER(E23),UPPER(J23)="N",E23&lt;VLOOKUP(C23,Sundry!$A$4:$G$20,7,TRUE)),VLOOKUP(C23,Sundry!$A$4:$G$20,6,TRUE),0)</f>
        <v/>
      </c>
      <c r="T23" s="393">
        <f>M23+O23+P23+Q23+R23+S23</f>
        <v/>
      </c>
    </row>
    <row r="24">
      <c r="A24" s="388" t="inlineStr">
        <is>
          <t>520</t>
        </is>
      </c>
      <c r="B24" s="388" t="inlineStr">
        <is>
          <t>corbuloschans, 18D0353</t>
        </is>
      </c>
      <c r="C24" s="389" t="n">
        <v>250</v>
      </c>
      <c r="D24" s="389" t="n">
        <v>6</v>
      </c>
      <c r="E24" s="390" t="n">
        <v>87.59999999999999</v>
      </c>
      <c r="F24" s="391" t="n">
        <v>5.2</v>
      </c>
      <c r="G24" s="306" t="n">
        <v>1</v>
      </c>
      <c r="H24" s="306" t="n">
        <v>1</v>
      </c>
      <c r="I24" s="306" t="n">
        <v>0</v>
      </c>
      <c r="J24" s="306" t="inlineStr">
        <is>
          <t>J</t>
        </is>
      </c>
      <c r="K24" s="392">
        <f>IF(ISNUMBER(E24),IF(ISNUMBER(F24),F24,Instellingen!$B$6)+Instellingen!$B$5,"")</f>
        <v/>
      </c>
      <c r="L24" s="392">
        <f>IFERROR(INDEX(Impregnatie!$B$4:$O$25,MATCH(C24,Impregnatie!$A$4:$A$25,0),MATCH(D24,Impregnatie!$B$3:$O$3,0))*(1+Instellingen!$B$4),"")</f>
        <v/>
      </c>
      <c r="M24" s="392">
        <f>IF(AND(ISNUMBER(E24),ISNUMBER(L24)),E24*L24,0)</f>
        <v/>
      </c>
      <c r="N24" s="392">
        <f>IFERROR(INDEX('Droge kous'!$B$4:$T$33,MATCH(C24,'Droge kous'!$A$4:$A$33,0),MATCH(D24,'Droge kous'!$B$3:$T$3,0)),"")</f>
        <v/>
      </c>
      <c r="O24" s="392">
        <f>IF(AND(ISNUMBER(K24),ISNUMBER(N24)),K24*N24,0)</f>
        <v/>
      </c>
      <c r="P24" s="392">
        <f>IF(ISNUMBER(C24),IFERROR(N(G24)*VLOOKUP(C24,Sundry!$A$4:$G$20,4,TRUE),0),0)</f>
        <v/>
      </c>
      <c r="Q24" s="392">
        <f>IF(ISNUMBER(C24),IFERROR(N(H24)*VLOOKUP(C24,Sundry!$A$4:$G$20,5,TRUE),0),0)</f>
        <v/>
      </c>
      <c r="R24" s="392">
        <f>IF(ISNUMBER(C24),IFERROR(N(I24)*VLOOKUP(C24,Sundry!$A$4:$G$20,3,TRUE),0),0)</f>
        <v/>
      </c>
      <c r="S24" s="392">
        <f>IF(AND(ISNUMBER(C24),ISNUMBER(E24),UPPER(J24)="N",E24&lt;VLOOKUP(C24,Sundry!$A$4:$G$20,7,TRUE)),VLOOKUP(C24,Sundry!$A$4:$G$20,6,TRUE),0)</f>
        <v/>
      </c>
      <c r="T24" s="393">
        <f>M24+O24+P24+Q24+R24+S24</f>
        <v/>
      </c>
    </row>
    <row r="25">
      <c r="A25" s="388" t="inlineStr">
        <is>
          <t>521</t>
        </is>
      </c>
      <c r="B25" s="388" t="inlineStr">
        <is>
          <t>van den corputschans, 18D0354</t>
        </is>
      </c>
      <c r="C25" s="389" t="n">
        <v>250</v>
      </c>
      <c r="D25" s="389" t="n">
        <v>6</v>
      </c>
      <c r="E25" s="390" t="n">
        <v>121.4</v>
      </c>
      <c r="F25" s="391" t="n">
        <v>5.21</v>
      </c>
      <c r="G25" s="306" t="n">
        <v>1</v>
      </c>
      <c r="H25" s="306" t="n">
        <v>1</v>
      </c>
      <c r="I25" s="306" t="n">
        <v>0</v>
      </c>
      <c r="J25" s="306" t="inlineStr">
        <is>
          <t>J</t>
        </is>
      </c>
      <c r="K25" s="392">
        <f>IF(ISNUMBER(E25),IF(ISNUMBER(F25),F25,Instellingen!$B$6)+Instellingen!$B$5,"")</f>
        <v/>
      </c>
      <c r="L25" s="392">
        <f>IFERROR(INDEX(Impregnatie!$B$4:$O$25,MATCH(C25,Impregnatie!$A$4:$A$25,0),MATCH(D25,Impregnatie!$B$3:$O$3,0))*(1+Instellingen!$B$4),"")</f>
        <v/>
      </c>
      <c r="M25" s="392">
        <f>IF(AND(ISNUMBER(E25),ISNUMBER(L25)),E25*L25,0)</f>
        <v/>
      </c>
      <c r="N25" s="392">
        <f>IFERROR(INDEX('Droge kous'!$B$4:$T$33,MATCH(C25,'Droge kous'!$A$4:$A$33,0),MATCH(D25,'Droge kous'!$B$3:$T$3,0)),"")</f>
        <v/>
      </c>
      <c r="O25" s="392">
        <f>IF(AND(ISNUMBER(K25),ISNUMBER(N25)),K25*N25,0)</f>
        <v/>
      </c>
      <c r="P25" s="392">
        <f>IF(ISNUMBER(C25),IFERROR(N(G25)*VLOOKUP(C25,Sundry!$A$4:$G$20,4,TRUE),0),0)</f>
        <v/>
      </c>
      <c r="Q25" s="392">
        <f>IF(ISNUMBER(C25),IFERROR(N(H25)*VLOOKUP(C25,Sundry!$A$4:$G$20,5,TRUE),0),0)</f>
        <v/>
      </c>
      <c r="R25" s="392">
        <f>IF(ISNUMBER(C25),IFERROR(N(I25)*VLOOKUP(C25,Sundry!$A$4:$G$20,3,TRUE),0),0)</f>
        <v/>
      </c>
      <c r="S25" s="392">
        <f>IF(AND(ISNUMBER(C25),ISNUMBER(E25),UPPER(J25)="N",E25&lt;VLOOKUP(C25,Sundry!$A$4:$G$20,7,TRUE)),VLOOKUP(C25,Sundry!$A$4:$G$20,6,TRUE),0)</f>
        <v/>
      </c>
      <c r="T25" s="393">
        <f>M25+O25+P25+Q25+R25+S25</f>
        <v/>
      </c>
    </row>
    <row r="26">
      <c r="A26" s="388" t="inlineStr">
        <is>
          <t>522</t>
        </is>
      </c>
      <c r="B26" s="388" t="inlineStr">
        <is>
          <t>corbuloschans, 18D0348</t>
        </is>
      </c>
      <c r="C26" s="389" t="n">
        <v>250</v>
      </c>
      <c r="D26" s="389" t="n">
        <v>6</v>
      </c>
      <c r="E26" s="390" t="n">
        <v>93.8</v>
      </c>
      <c r="F26" s="391" t="n">
        <v>4.67</v>
      </c>
      <c r="G26" s="306" t="n">
        <v>1</v>
      </c>
      <c r="H26" s="306" t="n">
        <v>1</v>
      </c>
      <c r="I26" s="306" t="n">
        <v>0</v>
      </c>
      <c r="J26" s="306" t="inlineStr">
        <is>
          <t>J</t>
        </is>
      </c>
      <c r="K26" s="392">
        <f>IF(ISNUMBER(E26),IF(ISNUMBER(F26),F26,Instellingen!$B$6)+Instellingen!$B$5,"")</f>
        <v/>
      </c>
      <c r="L26" s="392">
        <f>IFERROR(INDEX(Impregnatie!$B$4:$O$25,MATCH(C26,Impregnatie!$A$4:$A$25,0),MATCH(D26,Impregnatie!$B$3:$O$3,0))*(1+Instellingen!$B$4),"")</f>
        <v/>
      </c>
      <c r="M26" s="392">
        <f>IF(AND(ISNUMBER(E26),ISNUMBER(L26)),E26*L26,0)</f>
        <v/>
      </c>
      <c r="N26" s="392">
        <f>IFERROR(INDEX('Droge kous'!$B$4:$T$33,MATCH(C26,'Droge kous'!$A$4:$A$33,0),MATCH(D26,'Droge kous'!$B$3:$T$3,0)),"")</f>
        <v/>
      </c>
      <c r="O26" s="392">
        <f>IF(AND(ISNUMBER(K26),ISNUMBER(N26)),K26*N26,0)</f>
        <v/>
      </c>
      <c r="P26" s="392">
        <f>IF(ISNUMBER(C26),IFERROR(N(G26)*VLOOKUP(C26,Sundry!$A$4:$G$20,4,TRUE),0),0)</f>
        <v/>
      </c>
      <c r="Q26" s="392">
        <f>IF(ISNUMBER(C26),IFERROR(N(H26)*VLOOKUP(C26,Sundry!$A$4:$G$20,5,TRUE),0),0)</f>
        <v/>
      </c>
      <c r="R26" s="392">
        <f>IF(ISNUMBER(C26),IFERROR(N(I26)*VLOOKUP(C26,Sundry!$A$4:$G$20,3,TRUE),0),0)</f>
        <v/>
      </c>
      <c r="S26" s="392">
        <f>IF(AND(ISNUMBER(C26),ISNUMBER(E26),UPPER(J26)="N",E26&lt;VLOOKUP(C26,Sundry!$A$4:$G$20,7,TRUE)),VLOOKUP(C26,Sundry!$A$4:$G$20,6,TRUE),0)</f>
        <v/>
      </c>
      <c r="T26" s="393">
        <f>M26+O26+P26+Q26+R26+S26</f>
        <v/>
      </c>
    </row>
    <row r="27">
      <c r="A27" s="388" t="inlineStr">
        <is>
          <t>523</t>
        </is>
      </c>
      <c r="B27" s="388" t="inlineStr">
        <is>
          <t>semsschans, 18D0554</t>
        </is>
      </c>
      <c r="C27" s="389" t="n">
        <v>250</v>
      </c>
      <c r="D27" s="389" t="n">
        <v>6</v>
      </c>
      <c r="E27" s="390" t="n">
        <v>60.9</v>
      </c>
      <c r="F27" s="391" t="n">
        <v>4.3</v>
      </c>
      <c r="G27" s="306" t="n">
        <v>1</v>
      </c>
      <c r="H27" s="306" t="n">
        <v>1</v>
      </c>
      <c r="I27" s="306" t="n">
        <v>0</v>
      </c>
      <c r="J27" s="306" t="inlineStr">
        <is>
          <t>J</t>
        </is>
      </c>
      <c r="K27" s="392">
        <f>IF(ISNUMBER(E27),IF(ISNUMBER(F27),F27,Instellingen!$B$6)+Instellingen!$B$5,"")</f>
        <v/>
      </c>
      <c r="L27" s="392">
        <f>IFERROR(INDEX(Impregnatie!$B$4:$O$25,MATCH(C27,Impregnatie!$A$4:$A$25,0),MATCH(D27,Impregnatie!$B$3:$O$3,0))*(1+Instellingen!$B$4),"")</f>
        <v/>
      </c>
      <c r="M27" s="392">
        <f>IF(AND(ISNUMBER(E27),ISNUMBER(L27)),E27*L27,0)</f>
        <v/>
      </c>
      <c r="N27" s="392">
        <f>IFERROR(INDEX('Droge kous'!$B$4:$T$33,MATCH(C27,'Droge kous'!$A$4:$A$33,0),MATCH(D27,'Droge kous'!$B$3:$T$3,0)),"")</f>
        <v/>
      </c>
      <c r="O27" s="392">
        <f>IF(AND(ISNUMBER(K27),ISNUMBER(N27)),K27*N27,0)</f>
        <v/>
      </c>
      <c r="P27" s="392">
        <f>IF(ISNUMBER(C27),IFERROR(N(G27)*VLOOKUP(C27,Sundry!$A$4:$G$20,4,TRUE),0),0)</f>
        <v/>
      </c>
      <c r="Q27" s="392">
        <f>IF(ISNUMBER(C27),IFERROR(N(H27)*VLOOKUP(C27,Sundry!$A$4:$G$20,5,TRUE),0),0)</f>
        <v/>
      </c>
      <c r="R27" s="392">
        <f>IF(ISNUMBER(C27),IFERROR(N(I27)*VLOOKUP(C27,Sundry!$A$4:$G$20,3,TRUE),0),0)</f>
        <v/>
      </c>
      <c r="S27" s="392">
        <f>IF(AND(ISNUMBER(C27),ISNUMBER(E27),UPPER(J27)="N",E27&lt;VLOOKUP(C27,Sundry!$A$4:$G$20,7,TRUE)),VLOOKUP(C27,Sundry!$A$4:$G$20,6,TRUE),0)</f>
        <v/>
      </c>
      <c r="T27" s="393">
        <f>M27+O27+P27+Q27+R27+S27</f>
        <v/>
      </c>
    </row>
    <row r="28">
      <c r="A28" s="388" t="inlineStr">
        <is>
          <t>524</t>
        </is>
      </c>
      <c r="B28" s="388" t="inlineStr">
        <is>
          <t>van rijswijckschans, 18D0457</t>
        </is>
      </c>
      <c r="C28" s="389" t="n">
        <v>250</v>
      </c>
      <c r="D28" s="389" t="n">
        <v>6</v>
      </c>
      <c r="E28" s="390" t="n">
        <v>49.2</v>
      </c>
      <c r="F28" s="391" t="n">
        <v>4.5</v>
      </c>
      <c r="G28" s="306" t="n">
        <v>1</v>
      </c>
      <c r="H28" s="306" t="n">
        <v>1</v>
      </c>
      <c r="I28" s="306" t="n">
        <v>0</v>
      </c>
      <c r="J28" s="306" t="inlineStr">
        <is>
          <t>J</t>
        </is>
      </c>
      <c r="K28" s="392">
        <f>IF(ISNUMBER(E28),IF(ISNUMBER(F28),F28,Instellingen!$B$6)+Instellingen!$B$5,"")</f>
        <v/>
      </c>
      <c r="L28" s="392">
        <f>IFERROR(INDEX(Impregnatie!$B$4:$O$25,MATCH(C28,Impregnatie!$A$4:$A$25,0),MATCH(D28,Impregnatie!$B$3:$O$3,0))*(1+Instellingen!$B$4),"")</f>
        <v/>
      </c>
      <c r="M28" s="392">
        <f>IF(AND(ISNUMBER(E28),ISNUMBER(L28)),E28*L28,0)</f>
        <v/>
      </c>
      <c r="N28" s="392">
        <f>IFERROR(INDEX('Droge kous'!$B$4:$T$33,MATCH(C28,'Droge kous'!$A$4:$A$33,0),MATCH(D28,'Droge kous'!$B$3:$T$3,0)),"")</f>
        <v/>
      </c>
      <c r="O28" s="392">
        <f>IF(AND(ISNUMBER(K28),ISNUMBER(N28)),K28*N28,0)</f>
        <v/>
      </c>
      <c r="P28" s="392">
        <f>IF(ISNUMBER(C28),IFERROR(N(G28)*VLOOKUP(C28,Sundry!$A$4:$G$20,4,TRUE),0),0)</f>
        <v/>
      </c>
      <c r="Q28" s="392">
        <f>IF(ISNUMBER(C28),IFERROR(N(H28)*VLOOKUP(C28,Sundry!$A$4:$G$20,5,TRUE),0),0)</f>
        <v/>
      </c>
      <c r="R28" s="392">
        <f>IF(ISNUMBER(C28),IFERROR(N(I28)*VLOOKUP(C28,Sundry!$A$4:$G$20,3,TRUE),0),0)</f>
        <v/>
      </c>
      <c r="S28" s="392">
        <f>IF(AND(ISNUMBER(C28),ISNUMBER(E28),UPPER(J28)="N",E28&lt;VLOOKUP(C28,Sundry!$A$4:$G$20,7,TRUE)),VLOOKUP(C28,Sundry!$A$4:$G$20,6,TRUE),0)</f>
        <v/>
      </c>
      <c r="T28" s="393">
        <f>M28+O28+P28+Q28+R28+S28</f>
        <v/>
      </c>
    </row>
    <row r="29">
      <c r="A29" s="388" t="inlineStr">
        <is>
          <t>525</t>
        </is>
      </c>
      <c r="B29" s="388" t="inlineStr">
        <is>
          <t>van rijswijckschans, 18D0457</t>
        </is>
      </c>
      <c r="C29" s="389" t="n">
        <v>250</v>
      </c>
      <c r="D29" s="389" t="n">
        <v>6</v>
      </c>
      <c r="E29" s="390" t="n">
        <v>106.1</v>
      </c>
      <c r="F29" s="391" t="n">
        <v>4.5</v>
      </c>
      <c r="G29" s="306" t="n">
        <v>1</v>
      </c>
      <c r="H29" s="306" t="n">
        <v>1</v>
      </c>
      <c r="I29" s="306" t="n">
        <v>0</v>
      </c>
      <c r="J29" s="306" t="inlineStr">
        <is>
          <t>J</t>
        </is>
      </c>
      <c r="K29" s="392">
        <f>IF(ISNUMBER(E29),IF(ISNUMBER(F29),F29,Instellingen!$B$6)+Instellingen!$B$5,"")</f>
        <v/>
      </c>
      <c r="L29" s="392">
        <f>IFERROR(INDEX(Impregnatie!$B$4:$O$25,MATCH(C29,Impregnatie!$A$4:$A$25,0),MATCH(D29,Impregnatie!$B$3:$O$3,0))*(1+Instellingen!$B$4),"")</f>
        <v/>
      </c>
      <c r="M29" s="392">
        <f>IF(AND(ISNUMBER(E29),ISNUMBER(L29)),E29*L29,0)</f>
        <v/>
      </c>
      <c r="N29" s="392">
        <f>IFERROR(INDEX('Droge kous'!$B$4:$T$33,MATCH(C29,'Droge kous'!$A$4:$A$33,0),MATCH(D29,'Droge kous'!$B$3:$T$3,0)),"")</f>
        <v/>
      </c>
      <c r="O29" s="392">
        <f>IF(AND(ISNUMBER(K29),ISNUMBER(N29)),K29*N29,0)</f>
        <v/>
      </c>
      <c r="P29" s="392">
        <f>IF(ISNUMBER(C29),IFERROR(N(G29)*VLOOKUP(C29,Sundry!$A$4:$G$20,4,TRUE),0),0)</f>
        <v/>
      </c>
      <c r="Q29" s="392">
        <f>IF(ISNUMBER(C29),IFERROR(N(H29)*VLOOKUP(C29,Sundry!$A$4:$G$20,5,TRUE),0),0)</f>
        <v/>
      </c>
      <c r="R29" s="392">
        <f>IF(ISNUMBER(C29),IFERROR(N(I29)*VLOOKUP(C29,Sundry!$A$4:$G$20,3,TRUE),0),0)</f>
        <v/>
      </c>
      <c r="S29" s="392">
        <f>IF(AND(ISNUMBER(C29),ISNUMBER(E29),UPPER(J29)="N",E29&lt;VLOOKUP(C29,Sundry!$A$4:$G$20,7,TRUE)),VLOOKUP(C29,Sundry!$A$4:$G$20,6,TRUE),0)</f>
        <v/>
      </c>
      <c r="T29" s="393">
        <f>M29+O29+P29+Q29+R29+S29</f>
        <v/>
      </c>
    </row>
    <row r="30">
      <c r="A30" s="388" t="n"/>
      <c r="B30" s="388" t="n"/>
      <c r="C30" s="389" t="n"/>
      <c r="D30" s="389" t="n"/>
      <c r="E30" s="390" t="n"/>
      <c r="F30" s="391" t="n"/>
      <c r="G30" s="306" t="n">
        <v>1</v>
      </c>
      <c r="H30" s="306" t="n">
        <v>1</v>
      </c>
      <c r="I30" s="306" t="n">
        <v>0</v>
      </c>
      <c r="J30" s="306" t="inlineStr">
        <is>
          <t>J</t>
        </is>
      </c>
      <c r="K30" s="392">
        <f>IF(ISNUMBER(E30),IF(ISNUMBER(F30),F30,Instellingen!$B$6)+Instellingen!$B$5,"")</f>
        <v/>
      </c>
      <c r="L30" s="392">
        <f>IFERROR(INDEX(Impregnatie!$B$4:$O$25,MATCH(C30,Impregnatie!$A$4:$A$25,0),MATCH(D30,Impregnatie!$B$3:$O$3,0))*(1+Instellingen!$B$4),"")</f>
        <v/>
      </c>
      <c r="M30" s="392">
        <f>IF(AND(ISNUMBER(E30),ISNUMBER(L30)),E30*L30,0)</f>
        <v/>
      </c>
      <c r="N30" s="392">
        <f>IFERROR(INDEX('Droge kous'!$B$4:$T$33,MATCH(C30,'Droge kous'!$A$4:$A$33,0),MATCH(D30,'Droge kous'!$B$3:$T$3,0)),"")</f>
        <v/>
      </c>
      <c r="O30" s="392">
        <f>IF(AND(ISNUMBER(K30),ISNUMBER(N30)),K30*N30,0)</f>
        <v/>
      </c>
      <c r="P30" s="392">
        <f>IF(ISNUMBER(C30),IFERROR(N(G30)*VLOOKUP(C30,Sundry!$A$4:$G$20,4,TRUE),0),0)</f>
        <v/>
      </c>
      <c r="Q30" s="392">
        <f>IF(ISNUMBER(C30),IFERROR(N(H30)*VLOOKUP(C30,Sundry!$A$4:$G$20,5,TRUE),0),0)</f>
        <v/>
      </c>
      <c r="R30" s="392">
        <f>IF(ISNUMBER(C30),IFERROR(N(I30)*VLOOKUP(C30,Sundry!$A$4:$G$20,3,TRUE),0),0)</f>
        <v/>
      </c>
      <c r="S30" s="392">
        <f>IF(AND(ISNUMBER(C30),ISNUMBER(E30),UPPER(J30)="N",E30&lt;VLOOKUP(C30,Sundry!$A$4:$G$20,7,TRUE)),VLOOKUP(C30,Sundry!$A$4:$G$20,6,TRUE),0)</f>
        <v/>
      </c>
      <c r="T30" s="393">
        <f>M30+O30+P30+Q30+R30+S30</f>
        <v/>
      </c>
    </row>
    <row r="31">
      <c r="A31" s="388" t="n"/>
      <c r="B31" s="388" t="n"/>
      <c r="C31" s="389" t="n"/>
      <c r="D31" s="389" t="n"/>
      <c r="E31" s="390" t="n"/>
      <c r="F31" s="391" t="n"/>
      <c r="G31" s="306" t="n">
        <v>1</v>
      </c>
      <c r="H31" s="306" t="n">
        <v>1</v>
      </c>
      <c r="I31" s="306" t="n">
        <v>0</v>
      </c>
      <c r="J31" s="306" t="inlineStr">
        <is>
          <t>J</t>
        </is>
      </c>
      <c r="K31" s="392">
        <f>IF(ISNUMBER(E31),IF(ISNUMBER(F31),F31,Instellingen!$B$6)+Instellingen!$B$5,"")</f>
        <v/>
      </c>
      <c r="L31" s="392">
        <f>IFERROR(INDEX(Impregnatie!$B$4:$O$25,MATCH(C31,Impregnatie!$A$4:$A$25,0),MATCH(D31,Impregnatie!$B$3:$O$3,0))*(1+Instellingen!$B$4),"")</f>
        <v/>
      </c>
      <c r="M31" s="392">
        <f>IF(AND(ISNUMBER(E31),ISNUMBER(L31)),E31*L31,0)</f>
        <v/>
      </c>
      <c r="N31" s="392">
        <f>IFERROR(INDEX('Droge kous'!$B$4:$T$33,MATCH(C31,'Droge kous'!$A$4:$A$33,0),MATCH(D31,'Droge kous'!$B$3:$T$3,0)),"")</f>
        <v/>
      </c>
      <c r="O31" s="392">
        <f>IF(AND(ISNUMBER(K31),ISNUMBER(N31)),K31*N31,0)</f>
        <v/>
      </c>
      <c r="P31" s="392">
        <f>IF(ISNUMBER(C31),IFERROR(N(G31)*VLOOKUP(C31,Sundry!$A$4:$G$20,4,TRUE),0),0)</f>
        <v/>
      </c>
      <c r="Q31" s="392">
        <f>IF(ISNUMBER(C31),IFERROR(N(H31)*VLOOKUP(C31,Sundry!$A$4:$G$20,5,TRUE),0),0)</f>
        <v/>
      </c>
      <c r="R31" s="392">
        <f>IF(ISNUMBER(C31),IFERROR(N(I31)*VLOOKUP(C31,Sundry!$A$4:$G$20,3,TRUE),0),0)</f>
        <v/>
      </c>
      <c r="S31" s="392">
        <f>IF(AND(ISNUMBER(C31),ISNUMBER(E31),UPPER(J31)="N",E31&lt;VLOOKUP(C31,Sundry!$A$4:$G$20,7,TRUE)),VLOOKUP(C31,Sundry!$A$4:$G$20,6,TRUE),0)</f>
        <v/>
      </c>
      <c r="T31" s="393">
        <f>M31+O31+P31+Q31+R31+S31</f>
        <v/>
      </c>
    </row>
    <row r="32">
      <c r="A32" s="388" t="n"/>
      <c r="B32" s="388" t="n"/>
      <c r="C32" s="389" t="n"/>
      <c r="D32" s="389" t="n"/>
      <c r="E32" s="390" t="n"/>
      <c r="F32" s="391" t="n"/>
      <c r="G32" s="306" t="n">
        <v>1</v>
      </c>
      <c r="H32" s="306" t="n">
        <v>1</v>
      </c>
      <c r="I32" s="306" t="n">
        <v>0</v>
      </c>
      <c r="J32" s="306" t="inlineStr">
        <is>
          <t>J</t>
        </is>
      </c>
      <c r="K32" s="392">
        <f>IF(ISNUMBER(E32),IF(ISNUMBER(F32),F32,Instellingen!$B$6)+Instellingen!$B$5,"")</f>
        <v/>
      </c>
      <c r="L32" s="392">
        <f>IFERROR(INDEX(Impregnatie!$B$4:$O$25,MATCH(C32,Impregnatie!$A$4:$A$25,0),MATCH(D32,Impregnatie!$B$3:$O$3,0))*(1+Instellingen!$B$4),"")</f>
        <v/>
      </c>
      <c r="M32" s="392">
        <f>IF(AND(ISNUMBER(E32),ISNUMBER(L32)),E32*L32,0)</f>
        <v/>
      </c>
      <c r="N32" s="392">
        <f>IFERROR(INDEX('Droge kous'!$B$4:$T$33,MATCH(C32,'Droge kous'!$A$4:$A$33,0),MATCH(D32,'Droge kous'!$B$3:$T$3,0)),"")</f>
        <v/>
      </c>
      <c r="O32" s="392">
        <f>IF(AND(ISNUMBER(K32),ISNUMBER(N32)),K32*N32,0)</f>
        <v/>
      </c>
      <c r="P32" s="392">
        <f>IF(ISNUMBER(C32),IFERROR(N(G32)*VLOOKUP(C32,Sundry!$A$4:$G$20,4,TRUE),0),0)</f>
        <v/>
      </c>
      <c r="Q32" s="392">
        <f>IF(ISNUMBER(C32),IFERROR(N(H32)*VLOOKUP(C32,Sundry!$A$4:$G$20,5,TRUE),0),0)</f>
        <v/>
      </c>
      <c r="R32" s="392">
        <f>IF(ISNUMBER(C32),IFERROR(N(I32)*VLOOKUP(C32,Sundry!$A$4:$G$20,3,TRUE),0),0)</f>
        <v/>
      </c>
      <c r="S32" s="392">
        <f>IF(AND(ISNUMBER(C32),ISNUMBER(E32),UPPER(J32)="N",E32&lt;VLOOKUP(C32,Sundry!$A$4:$G$20,7,TRUE)),VLOOKUP(C32,Sundry!$A$4:$G$20,6,TRUE),0)</f>
        <v/>
      </c>
      <c r="T32" s="393">
        <f>M32+O32+P32+Q32+R32+S32</f>
        <v/>
      </c>
    </row>
    <row r="33">
      <c r="A33" s="388" t="n"/>
      <c r="B33" s="388" t="n"/>
      <c r="C33" s="389" t="n"/>
      <c r="D33" s="389" t="n"/>
      <c r="E33" s="390" t="n"/>
      <c r="F33" s="391" t="n"/>
      <c r="G33" s="306" t="n">
        <v>1</v>
      </c>
      <c r="H33" s="306" t="n">
        <v>1</v>
      </c>
      <c r="I33" s="306" t="n">
        <v>0</v>
      </c>
      <c r="J33" s="306" t="inlineStr">
        <is>
          <t>J</t>
        </is>
      </c>
      <c r="K33" s="392">
        <f>IF(ISNUMBER(E33),IF(ISNUMBER(F33),F33,Instellingen!$B$6)+Instellingen!$B$5,"")</f>
        <v/>
      </c>
      <c r="L33" s="392">
        <f>IFERROR(INDEX(Impregnatie!$B$4:$O$25,MATCH(C33,Impregnatie!$A$4:$A$25,0),MATCH(D33,Impregnatie!$B$3:$O$3,0))*(1+Instellingen!$B$4),"")</f>
        <v/>
      </c>
      <c r="M33" s="392">
        <f>IF(AND(ISNUMBER(E33),ISNUMBER(L33)),E33*L33,0)</f>
        <v/>
      </c>
      <c r="N33" s="392">
        <f>IFERROR(INDEX('Droge kous'!$B$4:$T$33,MATCH(C33,'Droge kous'!$A$4:$A$33,0),MATCH(D33,'Droge kous'!$B$3:$T$3,0)),"")</f>
        <v/>
      </c>
      <c r="O33" s="392">
        <f>IF(AND(ISNUMBER(K33),ISNUMBER(N33)),K33*N33,0)</f>
        <v/>
      </c>
      <c r="P33" s="392">
        <f>IF(ISNUMBER(C33),IFERROR(N(G33)*VLOOKUP(C33,Sundry!$A$4:$G$20,4,TRUE),0),0)</f>
        <v/>
      </c>
      <c r="Q33" s="392">
        <f>IF(ISNUMBER(C33),IFERROR(N(H33)*VLOOKUP(C33,Sundry!$A$4:$G$20,5,TRUE),0),0)</f>
        <v/>
      </c>
      <c r="R33" s="392">
        <f>IF(ISNUMBER(C33),IFERROR(N(I33)*VLOOKUP(C33,Sundry!$A$4:$G$20,3,TRUE),0),0)</f>
        <v/>
      </c>
      <c r="S33" s="392">
        <f>IF(AND(ISNUMBER(C33),ISNUMBER(E33),UPPER(J33)="N",E33&lt;VLOOKUP(C33,Sundry!$A$4:$G$20,7,TRUE)),VLOOKUP(C33,Sundry!$A$4:$G$20,6,TRUE),0)</f>
        <v/>
      </c>
      <c r="T33" s="393">
        <f>M33+O33+P33+Q33+R33+S33</f>
        <v/>
      </c>
    </row>
    <row r="34">
      <c r="A34" s="388" t="n"/>
      <c r="B34" s="388" t="n"/>
      <c r="C34" s="389" t="n"/>
      <c r="D34" s="389" t="n"/>
      <c r="E34" s="390" t="n"/>
      <c r="F34" s="391" t="n"/>
      <c r="G34" s="306" t="n">
        <v>1</v>
      </c>
      <c r="H34" s="306" t="n">
        <v>1</v>
      </c>
      <c r="I34" s="306" t="n">
        <v>0</v>
      </c>
      <c r="J34" s="306" t="inlineStr">
        <is>
          <t>J</t>
        </is>
      </c>
      <c r="K34" s="392">
        <f>IF(ISNUMBER(E34),IF(ISNUMBER(F34),F34,Instellingen!$B$6)+Instellingen!$B$5,"")</f>
        <v/>
      </c>
      <c r="L34" s="392">
        <f>IFERROR(INDEX(Impregnatie!$B$4:$O$25,MATCH(C34,Impregnatie!$A$4:$A$25,0),MATCH(D34,Impregnatie!$B$3:$O$3,0))*(1+Instellingen!$B$4),"")</f>
        <v/>
      </c>
      <c r="M34" s="392">
        <f>IF(AND(ISNUMBER(E34),ISNUMBER(L34)),E34*L34,0)</f>
        <v/>
      </c>
      <c r="N34" s="392">
        <f>IFERROR(INDEX('Droge kous'!$B$4:$T$33,MATCH(C34,'Droge kous'!$A$4:$A$33,0),MATCH(D34,'Droge kous'!$B$3:$T$3,0)),"")</f>
        <v/>
      </c>
      <c r="O34" s="392">
        <f>IF(AND(ISNUMBER(K34),ISNUMBER(N34)),K34*N34,0)</f>
        <v/>
      </c>
      <c r="P34" s="392">
        <f>IF(ISNUMBER(C34),IFERROR(N(G34)*VLOOKUP(C34,Sundry!$A$4:$G$20,4,TRUE),0),0)</f>
        <v/>
      </c>
      <c r="Q34" s="392">
        <f>IF(ISNUMBER(C34),IFERROR(N(H34)*VLOOKUP(C34,Sundry!$A$4:$G$20,5,TRUE),0),0)</f>
        <v/>
      </c>
      <c r="R34" s="392">
        <f>IF(ISNUMBER(C34),IFERROR(N(I34)*VLOOKUP(C34,Sundry!$A$4:$G$20,3,TRUE),0),0)</f>
        <v/>
      </c>
      <c r="S34" s="392">
        <f>IF(AND(ISNUMBER(C34),ISNUMBER(E34),UPPER(J34)="N",E34&lt;VLOOKUP(C34,Sundry!$A$4:$G$20,7,TRUE)),VLOOKUP(C34,Sundry!$A$4:$G$20,6,TRUE),0)</f>
        <v/>
      </c>
      <c r="T34" s="393">
        <f>M34+O34+P34+Q34+R34+S34</f>
        <v/>
      </c>
    </row>
    <row r="35">
      <c r="A35" s="388" t="n"/>
      <c r="B35" s="388" t="n"/>
      <c r="C35" s="389" t="n"/>
      <c r="D35" s="389" t="n"/>
      <c r="E35" s="390" t="n"/>
      <c r="F35" s="391" t="n"/>
      <c r="G35" s="306" t="n">
        <v>1</v>
      </c>
      <c r="H35" s="306" t="n">
        <v>1</v>
      </c>
      <c r="I35" s="306" t="n">
        <v>0</v>
      </c>
      <c r="J35" s="306" t="inlineStr">
        <is>
          <t>J</t>
        </is>
      </c>
      <c r="K35" s="392">
        <f>IF(ISNUMBER(E35),IF(ISNUMBER(F35),F35,Instellingen!$B$6)+Instellingen!$B$5,"")</f>
        <v/>
      </c>
      <c r="L35" s="392">
        <f>IFERROR(INDEX(Impregnatie!$B$4:$O$25,MATCH(C35,Impregnatie!$A$4:$A$25,0),MATCH(D35,Impregnatie!$B$3:$O$3,0))*(1+Instellingen!$B$4),"")</f>
        <v/>
      </c>
      <c r="M35" s="392">
        <f>IF(AND(ISNUMBER(E35),ISNUMBER(L35)),E35*L35,0)</f>
        <v/>
      </c>
      <c r="N35" s="392">
        <f>IFERROR(INDEX('Droge kous'!$B$4:$T$33,MATCH(C35,'Droge kous'!$A$4:$A$33,0),MATCH(D35,'Droge kous'!$B$3:$T$3,0)),"")</f>
        <v/>
      </c>
      <c r="O35" s="392">
        <f>IF(AND(ISNUMBER(K35),ISNUMBER(N35)),K35*N35,0)</f>
        <v/>
      </c>
      <c r="P35" s="392">
        <f>IF(ISNUMBER(C35),IFERROR(N(G35)*VLOOKUP(C35,Sundry!$A$4:$G$20,4,TRUE),0),0)</f>
        <v/>
      </c>
      <c r="Q35" s="392">
        <f>IF(ISNUMBER(C35),IFERROR(N(H35)*VLOOKUP(C35,Sundry!$A$4:$G$20,5,TRUE),0),0)</f>
        <v/>
      </c>
      <c r="R35" s="392">
        <f>IF(ISNUMBER(C35),IFERROR(N(I35)*VLOOKUP(C35,Sundry!$A$4:$G$20,3,TRUE),0),0)</f>
        <v/>
      </c>
      <c r="S35" s="392">
        <f>IF(AND(ISNUMBER(C35),ISNUMBER(E35),UPPER(J35)="N",E35&lt;VLOOKUP(C35,Sundry!$A$4:$G$20,7,TRUE)),VLOOKUP(C35,Sundry!$A$4:$G$20,6,TRUE),0)</f>
        <v/>
      </c>
      <c r="T35" s="393">
        <f>M35+O35+P35+Q35+R35+S35</f>
        <v/>
      </c>
    </row>
    <row r="36">
      <c r="A36" s="388" t="n"/>
      <c r="B36" s="388" t="n"/>
      <c r="C36" s="389" t="n"/>
      <c r="D36" s="389" t="n"/>
      <c r="E36" s="390" t="n"/>
      <c r="F36" s="391" t="n"/>
      <c r="G36" s="306" t="n">
        <v>1</v>
      </c>
      <c r="H36" s="306" t="n">
        <v>1</v>
      </c>
      <c r="I36" s="306" t="n">
        <v>0</v>
      </c>
      <c r="J36" s="306" t="inlineStr">
        <is>
          <t>J</t>
        </is>
      </c>
      <c r="K36" s="392">
        <f>IF(ISNUMBER(E36),IF(ISNUMBER(F36),F36,Instellingen!$B$6)+Instellingen!$B$5,"")</f>
        <v/>
      </c>
      <c r="L36" s="392">
        <f>IFERROR(INDEX(Impregnatie!$B$4:$O$25,MATCH(C36,Impregnatie!$A$4:$A$25,0),MATCH(D36,Impregnatie!$B$3:$O$3,0))*(1+Instellingen!$B$4),"")</f>
        <v/>
      </c>
      <c r="M36" s="392">
        <f>IF(AND(ISNUMBER(E36),ISNUMBER(L36)),E36*L36,0)</f>
        <v/>
      </c>
      <c r="N36" s="392">
        <f>IFERROR(INDEX('Droge kous'!$B$4:$T$33,MATCH(C36,'Droge kous'!$A$4:$A$33,0),MATCH(D36,'Droge kous'!$B$3:$T$3,0)),"")</f>
        <v/>
      </c>
      <c r="O36" s="392">
        <f>IF(AND(ISNUMBER(K36),ISNUMBER(N36)),K36*N36,0)</f>
        <v/>
      </c>
      <c r="P36" s="392">
        <f>IF(ISNUMBER(C36),IFERROR(N(G36)*VLOOKUP(C36,Sundry!$A$4:$G$20,4,TRUE),0),0)</f>
        <v/>
      </c>
      <c r="Q36" s="392">
        <f>IF(ISNUMBER(C36),IFERROR(N(H36)*VLOOKUP(C36,Sundry!$A$4:$G$20,5,TRUE),0),0)</f>
        <v/>
      </c>
      <c r="R36" s="392">
        <f>IF(ISNUMBER(C36),IFERROR(N(I36)*VLOOKUP(C36,Sundry!$A$4:$G$20,3,TRUE),0),0)</f>
        <v/>
      </c>
      <c r="S36" s="392">
        <f>IF(AND(ISNUMBER(C36),ISNUMBER(E36),UPPER(J36)="N",E36&lt;VLOOKUP(C36,Sundry!$A$4:$G$20,7,TRUE)),VLOOKUP(C36,Sundry!$A$4:$G$20,6,TRUE),0)</f>
        <v/>
      </c>
      <c r="T36" s="393">
        <f>M36+O36+P36+Q36+R36+S36</f>
        <v/>
      </c>
    </row>
    <row r="37">
      <c r="A37" s="388" t="n"/>
      <c r="B37" s="388" t="n"/>
      <c r="C37" s="389" t="n"/>
      <c r="D37" s="389" t="n"/>
      <c r="E37" s="390" t="n"/>
      <c r="F37" s="391" t="n"/>
      <c r="G37" s="306" t="n">
        <v>1</v>
      </c>
      <c r="H37" s="306" t="n">
        <v>1</v>
      </c>
      <c r="I37" s="306" t="n">
        <v>0</v>
      </c>
      <c r="J37" s="306" t="inlineStr">
        <is>
          <t>J</t>
        </is>
      </c>
      <c r="K37" s="392">
        <f>IF(ISNUMBER(E37),IF(ISNUMBER(F37),F37,Instellingen!$B$6)+Instellingen!$B$5,"")</f>
        <v/>
      </c>
      <c r="L37" s="392">
        <f>IFERROR(INDEX(Impregnatie!$B$4:$O$25,MATCH(C37,Impregnatie!$A$4:$A$25,0),MATCH(D37,Impregnatie!$B$3:$O$3,0))*(1+Instellingen!$B$4),"")</f>
        <v/>
      </c>
      <c r="M37" s="392">
        <f>IF(AND(ISNUMBER(E37),ISNUMBER(L37)),E37*L37,0)</f>
        <v/>
      </c>
      <c r="N37" s="392">
        <f>IFERROR(INDEX('Droge kous'!$B$4:$T$33,MATCH(C37,'Droge kous'!$A$4:$A$33,0),MATCH(D37,'Droge kous'!$B$3:$T$3,0)),"")</f>
        <v/>
      </c>
      <c r="O37" s="392">
        <f>IF(AND(ISNUMBER(K37),ISNUMBER(N37)),K37*N37,0)</f>
        <v/>
      </c>
      <c r="P37" s="392">
        <f>IF(ISNUMBER(C37),IFERROR(N(G37)*VLOOKUP(C37,Sundry!$A$4:$G$20,4,TRUE),0),0)</f>
        <v/>
      </c>
      <c r="Q37" s="392">
        <f>IF(ISNUMBER(C37),IFERROR(N(H37)*VLOOKUP(C37,Sundry!$A$4:$G$20,5,TRUE),0),0)</f>
        <v/>
      </c>
      <c r="R37" s="392">
        <f>IF(ISNUMBER(C37),IFERROR(N(I37)*VLOOKUP(C37,Sundry!$A$4:$G$20,3,TRUE),0),0)</f>
        <v/>
      </c>
      <c r="S37" s="392">
        <f>IF(AND(ISNUMBER(C37),ISNUMBER(E37),UPPER(J37)="N",E37&lt;VLOOKUP(C37,Sundry!$A$4:$G$20,7,TRUE)),VLOOKUP(C37,Sundry!$A$4:$G$20,6,TRUE),0)</f>
        <v/>
      </c>
      <c r="T37" s="393">
        <f>M37+O37+P37+Q37+R37+S37</f>
        <v/>
      </c>
    </row>
    <row r="38">
      <c r="A38" s="388" t="n"/>
      <c r="B38" s="388" t="n"/>
      <c r="C38" s="389" t="n"/>
      <c r="D38" s="389" t="n"/>
      <c r="E38" s="390" t="n"/>
      <c r="F38" s="391" t="n"/>
      <c r="G38" s="306" t="n">
        <v>1</v>
      </c>
      <c r="H38" s="306" t="n">
        <v>1</v>
      </c>
      <c r="I38" s="306" t="n">
        <v>0</v>
      </c>
      <c r="J38" s="306" t="inlineStr">
        <is>
          <t>J</t>
        </is>
      </c>
      <c r="K38" s="392">
        <f>IF(ISNUMBER(E38),IF(ISNUMBER(F38),F38,Instellingen!$B$6)+Instellingen!$B$5,"")</f>
        <v/>
      </c>
      <c r="L38" s="392">
        <f>IFERROR(INDEX(Impregnatie!$B$4:$O$25,MATCH(C38,Impregnatie!$A$4:$A$25,0),MATCH(D38,Impregnatie!$B$3:$O$3,0))*(1+Instellingen!$B$4),"")</f>
        <v/>
      </c>
      <c r="M38" s="392">
        <f>IF(AND(ISNUMBER(E38),ISNUMBER(L38)),E38*L38,0)</f>
        <v/>
      </c>
      <c r="N38" s="392">
        <f>IFERROR(INDEX('Droge kous'!$B$4:$T$33,MATCH(C38,'Droge kous'!$A$4:$A$33,0),MATCH(D38,'Droge kous'!$B$3:$T$3,0)),"")</f>
        <v/>
      </c>
      <c r="O38" s="392">
        <f>IF(AND(ISNUMBER(K38),ISNUMBER(N38)),K38*N38,0)</f>
        <v/>
      </c>
      <c r="P38" s="392">
        <f>IF(ISNUMBER(C38),IFERROR(N(G38)*VLOOKUP(C38,Sundry!$A$4:$G$20,4,TRUE),0),0)</f>
        <v/>
      </c>
      <c r="Q38" s="392">
        <f>IF(ISNUMBER(C38),IFERROR(N(H38)*VLOOKUP(C38,Sundry!$A$4:$G$20,5,TRUE),0),0)</f>
        <v/>
      </c>
      <c r="R38" s="392">
        <f>IF(ISNUMBER(C38),IFERROR(N(I38)*VLOOKUP(C38,Sundry!$A$4:$G$20,3,TRUE),0),0)</f>
        <v/>
      </c>
      <c r="S38" s="392">
        <f>IF(AND(ISNUMBER(C38),ISNUMBER(E38),UPPER(J38)="N",E38&lt;VLOOKUP(C38,Sundry!$A$4:$G$20,7,TRUE)),VLOOKUP(C38,Sundry!$A$4:$G$20,6,TRUE),0)</f>
        <v/>
      </c>
      <c r="T38" s="393">
        <f>M38+O38+P38+Q38+R38+S38</f>
        <v/>
      </c>
    </row>
    <row r="39">
      <c r="A39" s="388" t="n"/>
      <c r="B39" s="388" t="n"/>
      <c r="C39" s="389" t="n"/>
      <c r="D39" s="389" t="n"/>
      <c r="E39" s="390" t="n"/>
      <c r="F39" s="391" t="n"/>
      <c r="G39" s="306" t="n">
        <v>1</v>
      </c>
      <c r="H39" s="306" t="n">
        <v>1</v>
      </c>
      <c r="I39" s="306" t="n">
        <v>0</v>
      </c>
      <c r="J39" s="306" t="inlineStr">
        <is>
          <t>J</t>
        </is>
      </c>
      <c r="K39" s="392">
        <f>IF(ISNUMBER(E39),IF(ISNUMBER(F39),F39,Instellingen!$B$6)+Instellingen!$B$5,"")</f>
        <v/>
      </c>
      <c r="L39" s="392">
        <f>IFERROR(INDEX(Impregnatie!$B$4:$O$25,MATCH(C39,Impregnatie!$A$4:$A$25,0),MATCH(D39,Impregnatie!$B$3:$O$3,0))*(1+Instellingen!$B$4),"")</f>
        <v/>
      </c>
      <c r="M39" s="392">
        <f>IF(AND(ISNUMBER(E39),ISNUMBER(L39)),E39*L39,0)</f>
        <v/>
      </c>
      <c r="N39" s="392">
        <f>IFERROR(INDEX('Droge kous'!$B$4:$T$33,MATCH(C39,'Droge kous'!$A$4:$A$33,0),MATCH(D39,'Droge kous'!$B$3:$T$3,0)),"")</f>
        <v/>
      </c>
      <c r="O39" s="392">
        <f>IF(AND(ISNUMBER(K39),ISNUMBER(N39)),K39*N39,0)</f>
        <v/>
      </c>
      <c r="P39" s="392">
        <f>IF(ISNUMBER(C39),IFERROR(N(G39)*VLOOKUP(C39,Sundry!$A$4:$G$20,4,TRUE),0),0)</f>
        <v/>
      </c>
      <c r="Q39" s="392">
        <f>IF(ISNUMBER(C39),IFERROR(N(H39)*VLOOKUP(C39,Sundry!$A$4:$G$20,5,TRUE),0),0)</f>
        <v/>
      </c>
      <c r="R39" s="392">
        <f>IF(ISNUMBER(C39),IFERROR(N(I39)*VLOOKUP(C39,Sundry!$A$4:$G$20,3,TRUE),0),0)</f>
        <v/>
      </c>
      <c r="S39" s="392">
        <f>IF(AND(ISNUMBER(C39),ISNUMBER(E39),UPPER(J39)="N",E39&lt;VLOOKUP(C39,Sundry!$A$4:$G$20,7,TRUE)),VLOOKUP(C39,Sundry!$A$4:$G$20,6,TRUE),0)</f>
        <v/>
      </c>
      <c r="T39" s="393">
        <f>M39+O39+P39+Q39+R39+S39</f>
        <v/>
      </c>
    </row>
    <row r="40">
      <c r="A40" s="388" t="n"/>
      <c r="B40" s="388" t="n"/>
      <c r="C40" s="389" t="n"/>
      <c r="D40" s="389" t="n"/>
      <c r="E40" s="390" t="n"/>
      <c r="F40" s="391" t="n"/>
      <c r="G40" s="306" t="n">
        <v>1</v>
      </c>
      <c r="H40" s="306" t="n">
        <v>1</v>
      </c>
      <c r="I40" s="306" t="n">
        <v>0</v>
      </c>
      <c r="J40" s="306" t="inlineStr">
        <is>
          <t>J</t>
        </is>
      </c>
      <c r="K40" s="392">
        <f>IF(ISNUMBER(E40),IF(ISNUMBER(F40),F40,Instellingen!$B$6)+Instellingen!$B$5,"")</f>
        <v/>
      </c>
      <c r="L40" s="392">
        <f>IFERROR(INDEX(Impregnatie!$B$4:$O$25,MATCH(C40,Impregnatie!$A$4:$A$25,0),MATCH(D40,Impregnatie!$B$3:$O$3,0))*(1+Instellingen!$B$4),"")</f>
        <v/>
      </c>
      <c r="M40" s="392">
        <f>IF(AND(ISNUMBER(E40),ISNUMBER(L40)),E40*L40,0)</f>
        <v/>
      </c>
      <c r="N40" s="392">
        <f>IFERROR(INDEX('Droge kous'!$B$4:$T$33,MATCH(C40,'Droge kous'!$A$4:$A$33,0),MATCH(D40,'Droge kous'!$B$3:$T$3,0)),"")</f>
        <v/>
      </c>
      <c r="O40" s="392">
        <f>IF(AND(ISNUMBER(K40),ISNUMBER(N40)),K40*N40,0)</f>
        <v/>
      </c>
      <c r="P40" s="392">
        <f>IF(ISNUMBER(C40),IFERROR(N(G40)*VLOOKUP(C40,Sundry!$A$4:$G$20,4,TRUE),0),0)</f>
        <v/>
      </c>
      <c r="Q40" s="392">
        <f>IF(ISNUMBER(C40),IFERROR(N(H40)*VLOOKUP(C40,Sundry!$A$4:$G$20,5,TRUE),0),0)</f>
        <v/>
      </c>
      <c r="R40" s="392">
        <f>IF(ISNUMBER(C40),IFERROR(N(I40)*VLOOKUP(C40,Sundry!$A$4:$G$20,3,TRUE),0),0)</f>
        <v/>
      </c>
      <c r="S40" s="392">
        <f>IF(AND(ISNUMBER(C40),ISNUMBER(E40),UPPER(J40)="N",E40&lt;VLOOKUP(C40,Sundry!$A$4:$G$20,7,TRUE)),VLOOKUP(C40,Sundry!$A$4:$G$20,6,TRUE),0)</f>
        <v/>
      </c>
      <c r="T40" s="393">
        <f>M40+O40+P40+Q40+R40+S40</f>
        <v/>
      </c>
    </row>
    <row r="41">
      <c r="A41" s="388" t="n"/>
      <c r="B41" s="388" t="n"/>
      <c r="C41" s="389" t="n"/>
      <c r="D41" s="389" t="n"/>
      <c r="E41" s="390" t="n"/>
      <c r="F41" s="391" t="n"/>
      <c r="G41" s="306" t="n">
        <v>1</v>
      </c>
      <c r="H41" s="306" t="n">
        <v>1</v>
      </c>
      <c r="I41" s="306" t="n">
        <v>0</v>
      </c>
      <c r="J41" s="306" t="inlineStr">
        <is>
          <t>J</t>
        </is>
      </c>
      <c r="K41" s="392">
        <f>IF(ISNUMBER(E41),IF(ISNUMBER(F41),F41,Instellingen!$B$6)+Instellingen!$B$5,"")</f>
        <v/>
      </c>
      <c r="L41" s="392">
        <f>IFERROR(INDEX(Impregnatie!$B$4:$O$25,MATCH(C41,Impregnatie!$A$4:$A$25,0),MATCH(D41,Impregnatie!$B$3:$O$3,0))*(1+Instellingen!$B$4),"")</f>
        <v/>
      </c>
      <c r="M41" s="392">
        <f>IF(AND(ISNUMBER(E41),ISNUMBER(L41)),E41*L41,0)</f>
        <v/>
      </c>
      <c r="N41" s="392">
        <f>IFERROR(INDEX('Droge kous'!$B$4:$T$33,MATCH(C41,'Droge kous'!$A$4:$A$33,0),MATCH(D41,'Droge kous'!$B$3:$T$3,0)),"")</f>
        <v/>
      </c>
      <c r="O41" s="392">
        <f>IF(AND(ISNUMBER(K41),ISNUMBER(N41)),K41*N41,0)</f>
        <v/>
      </c>
      <c r="P41" s="392">
        <f>IF(ISNUMBER(C41),IFERROR(N(G41)*VLOOKUP(C41,Sundry!$A$4:$G$20,4,TRUE),0),0)</f>
        <v/>
      </c>
      <c r="Q41" s="392">
        <f>IF(ISNUMBER(C41),IFERROR(N(H41)*VLOOKUP(C41,Sundry!$A$4:$G$20,5,TRUE),0),0)</f>
        <v/>
      </c>
      <c r="R41" s="392">
        <f>IF(ISNUMBER(C41),IFERROR(N(I41)*VLOOKUP(C41,Sundry!$A$4:$G$20,3,TRUE),0),0)</f>
        <v/>
      </c>
      <c r="S41" s="392">
        <f>IF(AND(ISNUMBER(C41),ISNUMBER(E41),UPPER(J41)="N",E41&lt;VLOOKUP(C41,Sundry!$A$4:$G$20,7,TRUE)),VLOOKUP(C41,Sundry!$A$4:$G$20,6,TRUE),0)</f>
        <v/>
      </c>
      <c r="T41" s="393">
        <f>M41+O41+P41+Q41+R41+S41</f>
        <v/>
      </c>
    </row>
    <row r="42">
      <c r="A42" s="388" t="n"/>
      <c r="B42" s="388" t="n"/>
      <c r="C42" s="389" t="n"/>
      <c r="D42" s="389" t="n"/>
      <c r="E42" s="390" t="n"/>
      <c r="F42" s="391" t="n"/>
      <c r="G42" s="306" t="n">
        <v>1</v>
      </c>
      <c r="H42" s="306" t="n">
        <v>1</v>
      </c>
      <c r="I42" s="306" t="n">
        <v>0</v>
      </c>
      <c r="J42" s="306" t="inlineStr">
        <is>
          <t>J</t>
        </is>
      </c>
      <c r="K42" s="392">
        <f>IF(ISNUMBER(E42),IF(ISNUMBER(F42),F42,Instellingen!$B$6)+Instellingen!$B$5,"")</f>
        <v/>
      </c>
      <c r="L42" s="392">
        <f>IFERROR(INDEX(Impregnatie!$B$4:$O$25,MATCH(C42,Impregnatie!$A$4:$A$25,0),MATCH(D42,Impregnatie!$B$3:$O$3,0))*(1+Instellingen!$B$4),"")</f>
        <v/>
      </c>
      <c r="M42" s="392">
        <f>IF(AND(ISNUMBER(E42),ISNUMBER(L42)),E42*L42,0)</f>
        <v/>
      </c>
      <c r="N42" s="392">
        <f>IFERROR(INDEX('Droge kous'!$B$4:$T$33,MATCH(C42,'Droge kous'!$A$4:$A$33,0),MATCH(D42,'Droge kous'!$B$3:$T$3,0)),"")</f>
        <v/>
      </c>
      <c r="O42" s="392">
        <f>IF(AND(ISNUMBER(K42),ISNUMBER(N42)),K42*N42,0)</f>
        <v/>
      </c>
      <c r="P42" s="392">
        <f>IF(ISNUMBER(C42),IFERROR(N(G42)*VLOOKUP(C42,Sundry!$A$4:$G$20,4,TRUE),0),0)</f>
        <v/>
      </c>
      <c r="Q42" s="392">
        <f>IF(ISNUMBER(C42),IFERROR(N(H42)*VLOOKUP(C42,Sundry!$A$4:$G$20,5,TRUE),0),0)</f>
        <v/>
      </c>
      <c r="R42" s="392">
        <f>IF(ISNUMBER(C42),IFERROR(N(I42)*VLOOKUP(C42,Sundry!$A$4:$G$20,3,TRUE),0),0)</f>
        <v/>
      </c>
      <c r="S42" s="392">
        <f>IF(AND(ISNUMBER(C42),ISNUMBER(E42),UPPER(J42)="N",E42&lt;VLOOKUP(C42,Sundry!$A$4:$G$20,7,TRUE)),VLOOKUP(C42,Sundry!$A$4:$G$20,6,TRUE),0)</f>
        <v/>
      </c>
      <c r="T42" s="393">
        <f>M42+O42+P42+Q42+R42+S42</f>
        <v/>
      </c>
    </row>
    <row r="43">
      <c r="A43" s="388" t="n"/>
      <c r="B43" s="388" t="n"/>
      <c r="C43" s="389" t="n"/>
      <c r="D43" s="389" t="n"/>
      <c r="E43" s="390" t="n"/>
      <c r="F43" s="391" t="n"/>
      <c r="G43" s="306" t="n">
        <v>1</v>
      </c>
      <c r="H43" s="306" t="n">
        <v>1</v>
      </c>
      <c r="I43" s="306" t="n">
        <v>0</v>
      </c>
      <c r="J43" s="306" t="inlineStr">
        <is>
          <t>J</t>
        </is>
      </c>
      <c r="K43" s="392">
        <f>IF(ISNUMBER(E43),IF(ISNUMBER(F43),F43,Instellingen!$B$6)+Instellingen!$B$5,"")</f>
        <v/>
      </c>
      <c r="L43" s="392">
        <f>IFERROR(INDEX(Impregnatie!$B$4:$O$25,MATCH(C43,Impregnatie!$A$4:$A$25,0),MATCH(D43,Impregnatie!$B$3:$O$3,0))*(1+Instellingen!$B$4),"")</f>
        <v/>
      </c>
      <c r="M43" s="392">
        <f>IF(AND(ISNUMBER(E43),ISNUMBER(L43)),E43*L43,0)</f>
        <v/>
      </c>
      <c r="N43" s="392">
        <f>IFERROR(INDEX('Droge kous'!$B$4:$T$33,MATCH(C43,'Droge kous'!$A$4:$A$33,0),MATCH(D43,'Droge kous'!$B$3:$T$3,0)),"")</f>
        <v/>
      </c>
      <c r="O43" s="392">
        <f>IF(AND(ISNUMBER(K43),ISNUMBER(N43)),K43*N43,0)</f>
        <v/>
      </c>
      <c r="P43" s="392">
        <f>IF(ISNUMBER(C43),IFERROR(N(G43)*VLOOKUP(C43,Sundry!$A$4:$G$20,4,TRUE),0),0)</f>
        <v/>
      </c>
      <c r="Q43" s="392">
        <f>IF(ISNUMBER(C43),IFERROR(N(H43)*VLOOKUP(C43,Sundry!$A$4:$G$20,5,TRUE),0),0)</f>
        <v/>
      </c>
      <c r="R43" s="392">
        <f>IF(ISNUMBER(C43),IFERROR(N(I43)*VLOOKUP(C43,Sundry!$A$4:$G$20,3,TRUE),0),0)</f>
        <v/>
      </c>
      <c r="S43" s="392">
        <f>IF(AND(ISNUMBER(C43),ISNUMBER(E43),UPPER(J43)="N",E43&lt;VLOOKUP(C43,Sundry!$A$4:$G$20,7,TRUE)),VLOOKUP(C43,Sundry!$A$4:$G$20,6,TRUE),0)</f>
        <v/>
      </c>
      <c r="T43" s="393">
        <f>M43+O43+P43+Q43+R43+S43</f>
        <v/>
      </c>
    </row>
    <row r="44">
      <c r="A44" s="388" t="n"/>
      <c r="B44" s="388" t="n"/>
      <c r="C44" s="389" t="n"/>
      <c r="D44" s="389" t="n"/>
      <c r="E44" s="390" t="n"/>
      <c r="F44" s="391" t="n"/>
      <c r="G44" s="306" t="n">
        <v>1</v>
      </c>
      <c r="H44" s="306" t="n">
        <v>1</v>
      </c>
      <c r="I44" s="306" t="n">
        <v>0</v>
      </c>
      <c r="J44" s="306" t="inlineStr">
        <is>
          <t>J</t>
        </is>
      </c>
      <c r="K44" s="392">
        <f>IF(ISNUMBER(E44),IF(ISNUMBER(F44),F44,Instellingen!$B$6)+Instellingen!$B$5,"")</f>
        <v/>
      </c>
      <c r="L44" s="392">
        <f>IFERROR(INDEX(Impregnatie!$B$4:$O$25,MATCH(C44,Impregnatie!$A$4:$A$25,0),MATCH(D44,Impregnatie!$B$3:$O$3,0))*(1+Instellingen!$B$4),"")</f>
        <v/>
      </c>
      <c r="M44" s="392">
        <f>IF(AND(ISNUMBER(E44),ISNUMBER(L44)),E44*L44,0)</f>
        <v/>
      </c>
      <c r="N44" s="392">
        <f>IFERROR(INDEX('Droge kous'!$B$4:$T$33,MATCH(C44,'Droge kous'!$A$4:$A$33,0),MATCH(D44,'Droge kous'!$B$3:$T$3,0)),"")</f>
        <v/>
      </c>
      <c r="O44" s="392">
        <f>IF(AND(ISNUMBER(K44),ISNUMBER(N44)),K44*N44,0)</f>
        <v/>
      </c>
      <c r="P44" s="392">
        <f>IF(ISNUMBER(C44),IFERROR(N(G44)*VLOOKUP(C44,Sundry!$A$4:$G$20,4,TRUE),0),0)</f>
        <v/>
      </c>
      <c r="Q44" s="392">
        <f>IF(ISNUMBER(C44),IFERROR(N(H44)*VLOOKUP(C44,Sundry!$A$4:$G$20,5,TRUE),0),0)</f>
        <v/>
      </c>
      <c r="R44" s="392">
        <f>IF(ISNUMBER(C44),IFERROR(N(I44)*VLOOKUP(C44,Sundry!$A$4:$G$20,3,TRUE),0),0)</f>
        <v/>
      </c>
      <c r="S44" s="392">
        <f>IF(AND(ISNUMBER(C44),ISNUMBER(E44),UPPER(J44)="N",E44&lt;VLOOKUP(C44,Sundry!$A$4:$G$20,7,TRUE)),VLOOKUP(C44,Sundry!$A$4:$G$20,6,TRUE),0)</f>
        <v/>
      </c>
      <c r="T44" s="393">
        <f>M44+O44+P44+Q44+R44+S44</f>
        <v/>
      </c>
    </row>
    <row r="45">
      <c r="A45" s="388" t="n"/>
      <c r="B45" s="388" t="n"/>
      <c r="C45" s="389" t="n"/>
      <c r="D45" s="389" t="n"/>
      <c r="E45" s="390" t="n"/>
      <c r="F45" s="391" t="n"/>
      <c r="G45" s="306" t="n">
        <v>1</v>
      </c>
      <c r="H45" s="306" t="n">
        <v>1</v>
      </c>
      <c r="I45" s="306" t="n">
        <v>0</v>
      </c>
      <c r="J45" s="306" t="inlineStr">
        <is>
          <t>J</t>
        </is>
      </c>
      <c r="K45" s="392">
        <f>IF(ISNUMBER(E45),IF(ISNUMBER(F45),F45,Instellingen!$B$6)+Instellingen!$B$5,"")</f>
        <v/>
      </c>
      <c r="L45" s="392">
        <f>IFERROR(INDEX(Impregnatie!$B$4:$O$25,MATCH(C45,Impregnatie!$A$4:$A$25,0),MATCH(D45,Impregnatie!$B$3:$O$3,0))*(1+Instellingen!$B$4),"")</f>
        <v/>
      </c>
      <c r="M45" s="392">
        <f>IF(AND(ISNUMBER(E45),ISNUMBER(L45)),E45*L45,0)</f>
        <v/>
      </c>
      <c r="N45" s="392">
        <f>IFERROR(INDEX('Droge kous'!$B$4:$T$33,MATCH(C45,'Droge kous'!$A$4:$A$33,0),MATCH(D45,'Droge kous'!$B$3:$T$3,0)),"")</f>
        <v/>
      </c>
      <c r="O45" s="392">
        <f>IF(AND(ISNUMBER(K45),ISNUMBER(N45)),K45*N45,0)</f>
        <v/>
      </c>
      <c r="P45" s="392">
        <f>IF(ISNUMBER(C45),IFERROR(N(G45)*VLOOKUP(C45,Sundry!$A$4:$G$20,4,TRUE),0),0)</f>
        <v/>
      </c>
      <c r="Q45" s="392">
        <f>IF(ISNUMBER(C45),IFERROR(N(H45)*VLOOKUP(C45,Sundry!$A$4:$G$20,5,TRUE),0),0)</f>
        <v/>
      </c>
      <c r="R45" s="392">
        <f>IF(ISNUMBER(C45),IFERROR(N(I45)*VLOOKUP(C45,Sundry!$A$4:$G$20,3,TRUE),0),0)</f>
        <v/>
      </c>
      <c r="S45" s="392">
        <f>IF(AND(ISNUMBER(C45),ISNUMBER(E45),UPPER(J45)="N",E45&lt;VLOOKUP(C45,Sundry!$A$4:$G$20,7,TRUE)),VLOOKUP(C45,Sundry!$A$4:$G$20,6,TRUE),0)</f>
        <v/>
      </c>
      <c r="T45" s="393">
        <f>M45+O45+P45+Q45+R45+S45</f>
        <v/>
      </c>
    </row>
    <row r="46">
      <c r="A46" s="388" t="n"/>
      <c r="B46" s="388" t="n"/>
      <c r="C46" s="389" t="n"/>
      <c r="D46" s="389" t="n"/>
      <c r="E46" s="390" t="n"/>
      <c r="F46" s="391" t="n"/>
      <c r="G46" s="306" t="n">
        <v>1</v>
      </c>
      <c r="H46" s="306" t="n">
        <v>1</v>
      </c>
      <c r="I46" s="306" t="n">
        <v>0</v>
      </c>
      <c r="J46" s="306" t="inlineStr">
        <is>
          <t>J</t>
        </is>
      </c>
      <c r="K46" s="392">
        <f>IF(ISNUMBER(E46),IF(ISNUMBER(F46),F46,Instellingen!$B$6)+Instellingen!$B$5,"")</f>
        <v/>
      </c>
      <c r="L46" s="392">
        <f>IFERROR(INDEX(Impregnatie!$B$4:$O$25,MATCH(C46,Impregnatie!$A$4:$A$25,0),MATCH(D46,Impregnatie!$B$3:$O$3,0))*(1+Instellingen!$B$4),"")</f>
        <v/>
      </c>
      <c r="M46" s="392">
        <f>IF(AND(ISNUMBER(E46),ISNUMBER(L46)),E46*L46,0)</f>
        <v/>
      </c>
      <c r="N46" s="392">
        <f>IFERROR(INDEX('Droge kous'!$B$4:$T$33,MATCH(C46,'Droge kous'!$A$4:$A$33,0),MATCH(D46,'Droge kous'!$B$3:$T$3,0)),"")</f>
        <v/>
      </c>
      <c r="O46" s="392">
        <f>IF(AND(ISNUMBER(K46),ISNUMBER(N46)),K46*N46,0)</f>
        <v/>
      </c>
      <c r="P46" s="392">
        <f>IF(ISNUMBER(C46),IFERROR(N(G46)*VLOOKUP(C46,Sundry!$A$4:$G$20,4,TRUE),0),0)</f>
        <v/>
      </c>
      <c r="Q46" s="392">
        <f>IF(ISNUMBER(C46),IFERROR(N(H46)*VLOOKUP(C46,Sundry!$A$4:$G$20,5,TRUE),0),0)</f>
        <v/>
      </c>
      <c r="R46" s="392">
        <f>IF(ISNUMBER(C46),IFERROR(N(I46)*VLOOKUP(C46,Sundry!$A$4:$G$20,3,TRUE),0),0)</f>
        <v/>
      </c>
      <c r="S46" s="392">
        <f>IF(AND(ISNUMBER(C46),ISNUMBER(E46),UPPER(J46)="N",E46&lt;VLOOKUP(C46,Sundry!$A$4:$G$20,7,TRUE)),VLOOKUP(C46,Sundry!$A$4:$G$20,6,TRUE),0)</f>
        <v/>
      </c>
      <c r="T46" s="393">
        <f>M46+O46+P46+Q46+R46+S46</f>
        <v/>
      </c>
    </row>
    <row r="47">
      <c r="A47" s="388" t="n"/>
      <c r="B47" s="388" t="n"/>
      <c r="C47" s="389" t="n"/>
      <c r="D47" s="389" t="n"/>
      <c r="E47" s="390" t="n"/>
      <c r="F47" s="391" t="n"/>
      <c r="G47" s="306" t="n">
        <v>1</v>
      </c>
      <c r="H47" s="306" t="n">
        <v>1</v>
      </c>
      <c r="I47" s="306" t="n">
        <v>0</v>
      </c>
      <c r="J47" s="306" t="inlineStr">
        <is>
          <t>J</t>
        </is>
      </c>
      <c r="K47" s="392">
        <f>IF(ISNUMBER(E47),IF(ISNUMBER(F47),F47,Instellingen!$B$6)+Instellingen!$B$5,"")</f>
        <v/>
      </c>
      <c r="L47" s="392">
        <f>IFERROR(INDEX(Impregnatie!$B$4:$O$25,MATCH(C47,Impregnatie!$A$4:$A$25,0),MATCH(D47,Impregnatie!$B$3:$O$3,0))*(1+Instellingen!$B$4),"")</f>
        <v/>
      </c>
      <c r="M47" s="392">
        <f>IF(AND(ISNUMBER(E47),ISNUMBER(L47)),E47*L47,0)</f>
        <v/>
      </c>
      <c r="N47" s="392">
        <f>IFERROR(INDEX('Droge kous'!$B$4:$T$33,MATCH(C47,'Droge kous'!$A$4:$A$33,0),MATCH(D47,'Droge kous'!$B$3:$T$3,0)),"")</f>
        <v/>
      </c>
      <c r="O47" s="392">
        <f>IF(AND(ISNUMBER(K47),ISNUMBER(N47)),K47*N47,0)</f>
        <v/>
      </c>
      <c r="P47" s="392">
        <f>IF(ISNUMBER(C47),IFERROR(N(G47)*VLOOKUP(C47,Sundry!$A$4:$G$20,4,TRUE),0),0)</f>
        <v/>
      </c>
      <c r="Q47" s="392">
        <f>IF(ISNUMBER(C47),IFERROR(N(H47)*VLOOKUP(C47,Sundry!$A$4:$G$20,5,TRUE),0),0)</f>
        <v/>
      </c>
      <c r="R47" s="392">
        <f>IF(ISNUMBER(C47),IFERROR(N(I47)*VLOOKUP(C47,Sundry!$A$4:$G$20,3,TRUE),0),0)</f>
        <v/>
      </c>
      <c r="S47" s="392">
        <f>IF(AND(ISNUMBER(C47),ISNUMBER(E47),UPPER(J47)="N",E47&lt;VLOOKUP(C47,Sundry!$A$4:$G$20,7,TRUE)),VLOOKUP(C47,Sundry!$A$4:$G$20,6,TRUE),0)</f>
        <v/>
      </c>
      <c r="T47" s="393">
        <f>M47+O47+P47+Q47+R47+S47</f>
        <v/>
      </c>
    </row>
    <row r="48">
      <c r="A48" s="388" t="n"/>
      <c r="B48" s="388" t="n"/>
      <c r="C48" s="389" t="n"/>
      <c r="D48" s="389" t="n"/>
      <c r="E48" s="390" t="n"/>
      <c r="F48" s="391" t="n"/>
      <c r="G48" s="306" t="n">
        <v>1</v>
      </c>
      <c r="H48" s="306" t="n">
        <v>1</v>
      </c>
      <c r="I48" s="306" t="n">
        <v>0</v>
      </c>
      <c r="J48" s="306" t="inlineStr">
        <is>
          <t>J</t>
        </is>
      </c>
      <c r="K48" s="392">
        <f>IF(ISNUMBER(E48),IF(ISNUMBER(F48),F48,Instellingen!$B$6)+Instellingen!$B$5,"")</f>
        <v/>
      </c>
      <c r="L48" s="392">
        <f>IFERROR(INDEX(Impregnatie!$B$4:$O$25,MATCH(C48,Impregnatie!$A$4:$A$25,0),MATCH(D48,Impregnatie!$B$3:$O$3,0))*(1+Instellingen!$B$4),"")</f>
        <v/>
      </c>
      <c r="M48" s="392">
        <f>IF(AND(ISNUMBER(E48),ISNUMBER(L48)),E48*L48,0)</f>
        <v/>
      </c>
      <c r="N48" s="392">
        <f>IFERROR(INDEX('Droge kous'!$B$4:$T$33,MATCH(C48,'Droge kous'!$A$4:$A$33,0),MATCH(D48,'Droge kous'!$B$3:$T$3,0)),"")</f>
        <v/>
      </c>
      <c r="O48" s="392">
        <f>IF(AND(ISNUMBER(K48),ISNUMBER(N48)),K48*N48,0)</f>
        <v/>
      </c>
      <c r="P48" s="392">
        <f>IF(ISNUMBER(C48),IFERROR(N(G48)*VLOOKUP(C48,Sundry!$A$4:$G$20,4,TRUE),0),0)</f>
        <v/>
      </c>
      <c r="Q48" s="392">
        <f>IF(ISNUMBER(C48),IFERROR(N(H48)*VLOOKUP(C48,Sundry!$A$4:$G$20,5,TRUE),0),0)</f>
        <v/>
      </c>
      <c r="R48" s="392">
        <f>IF(ISNUMBER(C48),IFERROR(N(I48)*VLOOKUP(C48,Sundry!$A$4:$G$20,3,TRUE),0),0)</f>
        <v/>
      </c>
      <c r="S48" s="392">
        <f>IF(AND(ISNUMBER(C48),ISNUMBER(E48),UPPER(J48)="N",E48&lt;VLOOKUP(C48,Sundry!$A$4:$G$20,7,TRUE)),VLOOKUP(C48,Sundry!$A$4:$G$20,6,TRUE),0)</f>
        <v/>
      </c>
      <c r="T48" s="393">
        <f>M48+O48+P48+Q48+R48+S48</f>
        <v/>
      </c>
    </row>
    <row r="49">
      <c r="A49" s="388" t="n"/>
      <c r="B49" s="388" t="n"/>
      <c r="C49" s="389" t="n"/>
      <c r="D49" s="389" t="n"/>
      <c r="E49" s="390" t="n"/>
      <c r="F49" s="391" t="n"/>
      <c r="G49" s="306" t="n">
        <v>1</v>
      </c>
      <c r="H49" s="306" t="n">
        <v>1</v>
      </c>
      <c r="I49" s="306" t="n">
        <v>0</v>
      </c>
      <c r="J49" s="306" t="inlineStr">
        <is>
          <t>J</t>
        </is>
      </c>
      <c r="K49" s="392">
        <f>IF(ISNUMBER(E49),IF(ISNUMBER(F49),F49,Instellingen!$B$6)+Instellingen!$B$5,"")</f>
        <v/>
      </c>
      <c r="L49" s="392">
        <f>IFERROR(INDEX(Impregnatie!$B$4:$O$25,MATCH(C49,Impregnatie!$A$4:$A$25,0),MATCH(D49,Impregnatie!$B$3:$O$3,0))*(1+Instellingen!$B$4),"")</f>
        <v/>
      </c>
      <c r="M49" s="392">
        <f>IF(AND(ISNUMBER(E49),ISNUMBER(L49)),E49*L49,0)</f>
        <v/>
      </c>
      <c r="N49" s="392">
        <f>IFERROR(INDEX('Droge kous'!$B$4:$T$33,MATCH(C49,'Droge kous'!$A$4:$A$33,0),MATCH(D49,'Droge kous'!$B$3:$T$3,0)),"")</f>
        <v/>
      </c>
      <c r="O49" s="392">
        <f>IF(AND(ISNUMBER(K49),ISNUMBER(N49)),K49*N49,0)</f>
        <v/>
      </c>
      <c r="P49" s="392">
        <f>IF(ISNUMBER(C49),IFERROR(N(G49)*VLOOKUP(C49,Sundry!$A$4:$G$20,4,TRUE),0),0)</f>
        <v/>
      </c>
      <c r="Q49" s="392">
        <f>IF(ISNUMBER(C49),IFERROR(N(H49)*VLOOKUP(C49,Sundry!$A$4:$G$20,5,TRUE),0),0)</f>
        <v/>
      </c>
      <c r="R49" s="392">
        <f>IF(ISNUMBER(C49),IFERROR(N(I49)*VLOOKUP(C49,Sundry!$A$4:$G$20,3,TRUE),0),0)</f>
        <v/>
      </c>
      <c r="S49" s="392">
        <f>IF(AND(ISNUMBER(C49),ISNUMBER(E49),UPPER(J49)="N",E49&lt;VLOOKUP(C49,Sundry!$A$4:$G$20,7,TRUE)),VLOOKUP(C49,Sundry!$A$4:$G$20,6,TRUE),0)</f>
        <v/>
      </c>
      <c r="T49" s="393">
        <f>M49+O49+P49+Q49+R49+S49</f>
        <v/>
      </c>
    </row>
    <row r="50">
      <c r="A50" s="388" t="n"/>
      <c r="B50" s="388" t="n"/>
      <c r="C50" s="389" t="n"/>
      <c r="D50" s="389" t="n"/>
      <c r="E50" s="390" t="n"/>
      <c r="F50" s="391" t="n"/>
      <c r="G50" s="306" t="n">
        <v>1</v>
      </c>
      <c r="H50" s="306" t="n">
        <v>1</v>
      </c>
      <c r="I50" s="306" t="n">
        <v>0</v>
      </c>
      <c r="J50" s="306" t="inlineStr">
        <is>
          <t>J</t>
        </is>
      </c>
      <c r="K50" s="392">
        <f>IF(ISNUMBER(E50),IF(ISNUMBER(F50),F50,Instellingen!$B$6)+Instellingen!$B$5,"")</f>
        <v/>
      </c>
      <c r="L50" s="392">
        <f>IFERROR(INDEX(Impregnatie!$B$4:$O$25,MATCH(C50,Impregnatie!$A$4:$A$25,0),MATCH(D50,Impregnatie!$B$3:$O$3,0))*(1+Instellingen!$B$4),"")</f>
        <v/>
      </c>
      <c r="M50" s="392">
        <f>IF(AND(ISNUMBER(E50),ISNUMBER(L50)),E50*L50,0)</f>
        <v/>
      </c>
      <c r="N50" s="392">
        <f>IFERROR(INDEX('Droge kous'!$B$4:$T$33,MATCH(C50,'Droge kous'!$A$4:$A$33,0),MATCH(D50,'Droge kous'!$B$3:$T$3,0)),"")</f>
        <v/>
      </c>
      <c r="O50" s="392">
        <f>IF(AND(ISNUMBER(K50),ISNUMBER(N50)),K50*N50,0)</f>
        <v/>
      </c>
      <c r="P50" s="392">
        <f>IF(ISNUMBER(C50),IFERROR(N(G50)*VLOOKUP(C50,Sundry!$A$4:$G$20,4,TRUE),0),0)</f>
        <v/>
      </c>
      <c r="Q50" s="392">
        <f>IF(ISNUMBER(C50),IFERROR(N(H50)*VLOOKUP(C50,Sundry!$A$4:$G$20,5,TRUE),0),0)</f>
        <v/>
      </c>
      <c r="R50" s="392">
        <f>IF(ISNUMBER(C50),IFERROR(N(I50)*VLOOKUP(C50,Sundry!$A$4:$G$20,3,TRUE),0),0)</f>
        <v/>
      </c>
      <c r="S50" s="392">
        <f>IF(AND(ISNUMBER(C50),ISNUMBER(E50),UPPER(J50)="N",E50&lt;VLOOKUP(C50,Sundry!$A$4:$G$20,7,TRUE)),VLOOKUP(C50,Sundry!$A$4:$G$20,6,TRUE),0)</f>
        <v/>
      </c>
      <c r="T50" s="393">
        <f>M50+O50+P50+Q50+R50+S50</f>
        <v/>
      </c>
    </row>
    <row r="51">
      <c r="A51" s="388" t="n"/>
      <c r="B51" s="388" t="n"/>
      <c r="C51" s="389" t="n"/>
      <c r="D51" s="389" t="n"/>
      <c r="E51" s="390" t="n"/>
      <c r="F51" s="391" t="n"/>
      <c r="G51" s="306" t="n">
        <v>1</v>
      </c>
      <c r="H51" s="306" t="n">
        <v>1</v>
      </c>
      <c r="I51" s="306" t="n">
        <v>0</v>
      </c>
      <c r="J51" s="306" t="inlineStr">
        <is>
          <t>J</t>
        </is>
      </c>
      <c r="K51" s="392">
        <f>IF(ISNUMBER(E51),IF(ISNUMBER(F51),F51,Instellingen!$B$6)+Instellingen!$B$5,"")</f>
        <v/>
      </c>
      <c r="L51" s="392">
        <f>IFERROR(INDEX(Impregnatie!$B$4:$O$25,MATCH(C51,Impregnatie!$A$4:$A$25,0),MATCH(D51,Impregnatie!$B$3:$O$3,0))*(1+Instellingen!$B$4),"")</f>
        <v/>
      </c>
      <c r="M51" s="392">
        <f>IF(AND(ISNUMBER(E51),ISNUMBER(L51)),E51*L51,0)</f>
        <v/>
      </c>
      <c r="N51" s="392">
        <f>IFERROR(INDEX('Droge kous'!$B$4:$T$33,MATCH(C51,'Droge kous'!$A$4:$A$33,0),MATCH(D51,'Droge kous'!$B$3:$T$3,0)),"")</f>
        <v/>
      </c>
      <c r="O51" s="392">
        <f>IF(AND(ISNUMBER(K51),ISNUMBER(N51)),K51*N51,0)</f>
        <v/>
      </c>
      <c r="P51" s="392">
        <f>IF(ISNUMBER(C51),IFERROR(N(G51)*VLOOKUP(C51,Sundry!$A$4:$G$20,4,TRUE),0),0)</f>
        <v/>
      </c>
      <c r="Q51" s="392">
        <f>IF(ISNUMBER(C51),IFERROR(N(H51)*VLOOKUP(C51,Sundry!$A$4:$G$20,5,TRUE),0),0)</f>
        <v/>
      </c>
      <c r="R51" s="392">
        <f>IF(ISNUMBER(C51),IFERROR(N(I51)*VLOOKUP(C51,Sundry!$A$4:$G$20,3,TRUE),0),0)</f>
        <v/>
      </c>
      <c r="S51" s="392">
        <f>IF(AND(ISNUMBER(C51),ISNUMBER(E51),UPPER(J51)="N",E51&lt;VLOOKUP(C51,Sundry!$A$4:$G$20,7,TRUE)),VLOOKUP(C51,Sundry!$A$4:$G$20,6,TRUE),0)</f>
        <v/>
      </c>
      <c r="T51" s="393">
        <f>M51+O51+P51+Q51+R51+S51</f>
        <v/>
      </c>
    </row>
    <row r="52">
      <c r="A52" s="388" t="n"/>
      <c r="B52" s="388" t="n"/>
      <c r="C52" s="389" t="n"/>
      <c r="D52" s="389" t="n"/>
      <c r="E52" s="390" t="n"/>
      <c r="F52" s="391" t="n"/>
      <c r="G52" s="306" t="n">
        <v>1</v>
      </c>
      <c r="H52" s="306" t="n">
        <v>1</v>
      </c>
      <c r="I52" s="306" t="n">
        <v>0</v>
      </c>
      <c r="J52" s="306" t="inlineStr">
        <is>
          <t>J</t>
        </is>
      </c>
      <c r="K52" s="392">
        <f>IF(ISNUMBER(E52),IF(ISNUMBER(F52),F52,Instellingen!$B$6)+Instellingen!$B$5,"")</f>
        <v/>
      </c>
      <c r="L52" s="392">
        <f>IFERROR(INDEX(Impregnatie!$B$4:$O$25,MATCH(C52,Impregnatie!$A$4:$A$25,0),MATCH(D52,Impregnatie!$B$3:$O$3,0))*(1+Instellingen!$B$4),"")</f>
        <v/>
      </c>
      <c r="M52" s="392">
        <f>IF(AND(ISNUMBER(E52),ISNUMBER(L52)),E52*L52,0)</f>
        <v/>
      </c>
      <c r="N52" s="392">
        <f>IFERROR(INDEX('Droge kous'!$B$4:$T$33,MATCH(C52,'Droge kous'!$A$4:$A$33,0),MATCH(D52,'Droge kous'!$B$3:$T$3,0)),"")</f>
        <v/>
      </c>
      <c r="O52" s="392">
        <f>IF(AND(ISNUMBER(K52),ISNUMBER(N52)),K52*N52,0)</f>
        <v/>
      </c>
      <c r="P52" s="392">
        <f>IF(ISNUMBER(C52),IFERROR(N(G52)*VLOOKUP(C52,Sundry!$A$4:$G$20,4,TRUE),0),0)</f>
        <v/>
      </c>
      <c r="Q52" s="392">
        <f>IF(ISNUMBER(C52),IFERROR(N(H52)*VLOOKUP(C52,Sundry!$A$4:$G$20,5,TRUE),0),0)</f>
        <v/>
      </c>
      <c r="R52" s="392">
        <f>IF(ISNUMBER(C52),IFERROR(N(I52)*VLOOKUP(C52,Sundry!$A$4:$G$20,3,TRUE),0),0)</f>
        <v/>
      </c>
      <c r="S52" s="392">
        <f>IF(AND(ISNUMBER(C52),ISNUMBER(E52),UPPER(J52)="N",E52&lt;VLOOKUP(C52,Sundry!$A$4:$G$20,7,TRUE)),VLOOKUP(C52,Sundry!$A$4:$G$20,6,TRUE),0)</f>
        <v/>
      </c>
      <c r="T52" s="393">
        <f>M52+O52+P52+Q52+R52+S52</f>
        <v/>
      </c>
    </row>
    <row r="53">
      <c r="A53" s="388" t="n"/>
      <c r="B53" s="388" t="n"/>
      <c r="C53" s="389" t="n"/>
      <c r="D53" s="389" t="n"/>
      <c r="E53" s="390" t="n"/>
      <c r="F53" s="391" t="n"/>
      <c r="G53" s="306" t="n">
        <v>1</v>
      </c>
      <c r="H53" s="306" t="n">
        <v>1</v>
      </c>
      <c r="I53" s="306" t="n">
        <v>0</v>
      </c>
      <c r="J53" s="306" t="inlineStr">
        <is>
          <t>J</t>
        </is>
      </c>
      <c r="K53" s="392">
        <f>IF(ISNUMBER(E53),IF(ISNUMBER(F53),F53,Instellingen!$B$6)+Instellingen!$B$5,"")</f>
        <v/>
      </c>
      <c r="L53" s="392">
        <f>IFERROR(INDEX(Impregnatie!$B$4:$O$25,MATCH(C53,Impregnatie!$A$4:$A$25,0),MATCH(D53,Impregnatie!$B$3:$O$3,0))*(1+Instellingen!$B$4),"")</f>
        <v/>
      </c>
      <c r="M53" s="392">
        <f>IF(AND(ISNUMBER(E53),ISNUMBER(L53)),E53*L53,0)</f>
        <v/>
      </c>
      <c r="N53" s="392">
        <f>IFERROR(INDEX('Droge kous'!$B$4:$T$33,MATCH(C53,'Droge kous'!$A$4:$A$33,0),MATCH(D53,'Droge kous'!$B$3:$T$3,0)),"")</f>
        <v/>
      </c>
      <c r="O53" s="392">
        <f>IF(AND(ISNUMBER(K53),ISNUMBER(N53)),K53*N53,0)</f>
        <v/>
      </c>
      <c r="P53" s="392">
        <f>IF(ISNUMBER(C53),IFERROR(N(G53)*VLOOKUP(C53,Sundry!$A$4:$G$20,4,TRUE),0),0)</f>
        <v/>
      </c>
      <c r="Q53" s="392">
        <f>IF(ISNUMBER(C53),IFERROR(N(H53)*VLOOKUP(C53,Sundry!$A$4:$G$20,5,TRUE),0),0)</f>
        <v/>
      </c>
      <c r="R53" s="392">
        <f>IF(ISNUMBER(C53),IFERROR(N(I53)*VLOOKUP(C53,Sundry!$A$4:$G$20,3,TRUE),0),0)</f>
        <v/>
      </c>
      <c r="S53" s="392">
        <f>IF(AND(ISNUMBER(C53),ISNUMBER(E53),UPPER(J53)="N",E53&lt;VLOOKUP(C53,Sundry!$A$4:$G$20,7,TRUE)),VLOOKUP(C53,Sundry!$A$4:$G$20,6,TRUE),0)</f>
        <v/>
      </c>
      <c r="T53" s="393">
        <f>M53+O53+P53+Q53+R53+S53</f>
        <v/>
      </c>
    </row>
    <row r="54">
      <c r="A54" s="388" t="n"/>
      <c r="B54" s="388" t="n"/>
      <c r="C54" s="389" t="n"/>
      <c r="D54" s="389" t="n"/>
      <c r="E54" s="390" t="n"/>
      <c r="F54" s="391" t="n"/>
      <c r="G54" s="306" t="n">
        <v>1</v>
      </c>
      <c r="H54" s="306" t="n">
        <v>1</v>
      </c>
      <c r="I54" s="306" t="n">
        <v>0</v>
      </c>
      <c r="J54" s="306" t="inlineStr">
        <is>
          <t>J</t>
        </is>
      </c>
      <c r="K54" s="392">
        <f>IF(ISNUMBER(E54),IF(ISNUMBER(F54),F54,Instellingen!$B$6)+Instellingen!$B$5,"")</f>
        <v/>
      </c>
      <c r="L54" s="392">
        <f>IFERROR(INDEX(Impregnatie!$B$4:$O$25,MATCH(C54,Impregnatie!$A$4:$A$25,0),MATCH(D54,Impregnatie!$B$3:$O$3,0))*(1+Instellingen!$B$4),"")</f>
        <v/>
      </c>
      <c r="M54" s="392">
        <f>IF(AND(ISNUMBER(E54),ISNUMBER(L54)),E54*L54,0)</f>
        <v/>
      </c>
      <c r="N54" s="392">
        <f>IFERROR(INDEX('Droge kous'!$B$4:$T$33,MATCH(C54,'Droge kous'!$A$4:$A$33,0),MATCH(D54,'Droge kous'!$B$3:$T$3,0)),"")</f>
        <v/>
      </c>
      <c r="O54" s="392">
        <f>IF(AND(ISNUMBER(K54),ISNUMBER(N54)),K54*N54,0)</f>
        <v/>
      </c>
      <c r="P54" s="392">
        <f>IF(ISNUMBER(C54),IFERROR(N(G54)*VLOOKUP(C54,Sundry!$A$4:$G$20,4,TRUE),0),0)</f>
        <v/>
      </c>
      <c r="Q54" s="392">
        <f>IF(ISNUMBER(C54),IFERROR(N(H54)*VLOOKUP(C54,Sundry!$A$4:$G$20,5,TRUE),0),0)</f>
        <v/>
      </c>
      <c r="R54" s="392">
        <f>IF(ISNUMBER(C54),IFERROR(N(I54)*VLOOKUP(C54,Sundry!$A$4:$G$20,3,TRUE),0),0)</f>
        <v/>
      </c>
      <c r="S54" s="392">
        <f>IF(AND(ISNUMBER(C54),ISNUMBER(E54),UPPER(J54)="N",E54&lt;VLOOKUP(C54,Sundry!$A$4:$G$20,7,TRUE)),VLOOKUP(C54,Sundry!$A$4:$G$20,6,TRUE),0)</f>
        <v/>
      </c>
      <c r="T54" s="393">
        <f>M54+O54+P54+Q54+R54+S54</f>
        <v/>
      </c>
    </row>
    <row r="55">
      <c r="A55" s="388" t="n"/>
      <c r="B55" s="388" t="n"/>
      <c r="C55" s="389" t="n"/>
      <c r="D55" s="389" t="n"/>
      <c r="E55" s="390" t="n"/>
      <c r="F55" s="391" t="n"/>
      <c r="G55" s="306" t="n">
        <v>1</v>
      </c>
      <c r="H55" s="306" t="n">
        <v>1</v>
      </c>
      <c r="I55" s="306" t="n">
        <v>0</v>
      </c>
      <c r="J55" s="306" t="inlineStr">
        <is>
          <t>J</t>
        </is>
      </c>
      <c r="K55" s="392">
        <f>IF(ISNUMBER(E55),IF(ISNUMBER(F55),F55,Instellingen!$B$6)+Instellingen!$B$5,"")</f>
        <v/>
      </c>
      <c r="L55" s="392">
        <f>IFERROR(INDEX(Impregnatie!$B$4:$O$25,MATCH(C55,Impregnatie!$A$4:$A$25,0),MATCH(D55,Impregnatie!$B$3:$O$3,0))*(1+Instellingen!$B$4),"")</f>
        <v/>
      </c>
      <c r="M55" s="392">
        <f>IF(AND(ISNUMBER(E55),ISNUMBER(L55)),E55*L55,0)</f>
        <v/>
      </c>
      <c r="N55" s="392">
        <f>IFERROR(INDEX('Droge kous'!$B$4:$T$33,MATCH(C55,'Droge kous'!$A$4:$A$33,0),MATCH(D55,'Droge kous'!$B$3:$T$3,0)),"")</f>
        <v/>
      </c>
      <c r="O55" s="392">
        <f>IF(AND(ISNUMBER(K55),ISNUMBER(N55)),K55*N55,0)</f>
        <v/>
      </c>
      <c r="P55" s="392">
        <f>IF(ISNUMBER(C55),IFERROR(N(G55)*VLOOKUP(C55,Sundry!$A$4:$G$20,4,TRUE),0),0)</f>
        <v/>
      </c>
      <c r="Q55" s="392">
        <f>IF(ISNUMBER(C55),IFERROR(N(H55)*VLOOKUP(C55,Sundry!$A$4:$G$20,5,TRUE),0),0)</f>
        <v/>
      </c>
      <c r="R55" s="392">
        <f>IF(ISNUMBER(C55),IFERROR(N(I55)*VLOOKUP(C55,Sundry!$A$4:$G$20,3,TRUE),0),0)</f>
        <v/>
      </c>
      <c r="S55" s="392">
        <f>IF(AND(ISNUMBER(C55),ISNUMBER(E55),UPPER(J55)="N",E55&lt;VLOOKUP(C55,Sundry!$A$4:$G$20,7,TRUE)),VLOOKUP(C55,Sundry!$A$4:$G$20,6,TRUE),0)</f>
        <v/>
      </c>
      <c r="T55" s="393">
        <f>M55+O55+P55+Q55+R55+S55</f>
        <v/>
      </c>
    </row>
    <row r="56">
      <c r="A56" s="388" t="n"/>
      <c r="B56" s="388" t="n"/>
      <c r="C56" s="389" t="n"/>
      <c r="D56" s="389" t="n"/>
      <c r="E56" s="390" t="n"/>
      <c r="F56" s="391" t="n"/>
      <c r="G56" s="306" t="n">
        <v>1</v>
      </c>
      <c r="H56" s="306" t="n">
        <v>1</v>
      </c>
      <c r="I56" s="306" t="n">
        <v>0</v>
      </c>
      <c r="J56" s="306" t="inlineStr">
        <is>
          <t>J</t>
        </is>
      </c>
      <c r="K56" s="392">
        <f>IF(ISNUMBER(E56),IF(ISNUMBER(F56),F56,Instellingen!$B$6)+Instellingen!$B$5,"")</f>
        <v/>
      </c>
      <c r="L56" s="392">
        <f>IFERROR(INDEX(Impregnatie!$B$4:$O$25,MATCH(C56,Impregnatie!$A$4:$A$25,0),MATCH(D56,Impregnatie!$B$3:$O$3,0))*(1+Instellingen!$B$4),"")</f>
        <v/>
      </c>
      <c r="M56" s="392">
        <f>IF(AND(ISNUMBER(E56),ISNUMBER(L56)),E56*L56,0)</f>
        <v/>
      </c>
      <c r="N56" s="392">
        <f>IFERROR(INDEX('Droge kous'!$B$4:$T$33,MATCH(C56,'Droge kous'!$A$4:$A$33,0),MATCH(D56,'Droge kous'!$B$3:$T$3,0)),"")</f>
        <v/>
      </c>
      <c r="O56" s="392">
        <f>IF(AND(ISNUMBER(K56),ISNUMBER(N56)),K56*N56,0)</f>
        <v/>
      </c>
      <c r="P56" s="392">
        <f>IF(ISNUMBER(C56),IFERROR(N(G56)*VLOOKUP(C56,Sundry!$A$4:$G$20,4,TRUE),0),0)</f>
        <v/>
      </c>
      <c r="Q56" s="392">
        <f>IF(ISNUMBER(C56),IFERROR(N(H56)*VLOOKUP(C56,Sundry!$A$4:$G$20,5,TRUE),0),0)</f>
        <v/>
      </c>
      <c r="R56" s="392">
        <f>IF(ISNUMBER(C56),IFERROR(N(I56)*VLOOKUP(C56,Sundry!$A$4:$G$20,3,TRUE),0),0)</f>
        <v/>
      </c>
      <c r="S56" s="392">
        <f>IF(AND(ISNUMBER(C56),ISNUMBER(E56),UPPER(J56)="N",E56&lt;VLOOKUP(C56,Sundry!$A$4:$G$20,7,TRUE)),VLOOKUP(C56,Sundry!$A$4:$G$20,6,TRUE),0)</f>
        <v/>
      </c>
      <c r="T56" s="393">
        <f>M56+O56+P56+Q56+R56+S56</f>
        <v/>
      </c>
    </row>
    <row r="57">
      <c r="A57" s="388" t="n"/>
      <c r="B57" s="388" t="n"/>
      <c r="C57" s="389" t="n"/>
      <c r="D57" s="389" t="n"/>
      <c r="E57" s="390" t="n"/>
      <c r="F57" s="391" t="n"/>
      <c r="G57" s="306" t="n">
        <v>1</v>
      </c>
      <c r="H57" s="306" t="n">
        <v>1</v>
      </c>
      <c r="I57" s="306" t="n">
        <v>0</v>
      </c>
      <c r="J57" s="306" t="inlineStr">
        <is>
          <t>J</t>
        </is>
      </c>
      <c r="K57" s="392">
        <f>IF(ISNUMBER(E57),IF(ISNUMBER(F57),F57,Instellingen!$B$6)+Instellingen!$B$5,"")</f>
        <v/>
      </c>
      <c r="L57" s="392">
        <f>IFERROR(INDEX(Impregnatie!$B$4:$O$25,MATCH(C57,Impregnatie!$A$4:$A$25,0),MATCH(D57,Impregnatie!$B$3:$O$3,0))*(1+Instellingen!$B$4),"")</f>
        <v/>
      </c>
      <c r="M57" s="392">
        <f>IF(AND(ISNUMBER(E57),ISNUMBER(L57)),E57*L57,0)</f>
        <v/>
      </c>
      <c r="N57" s="392">
        <f>IFERROR(INDEX('Droge kous'!$B$4:$T$33,MATCH(C57,'Droge kous'!$A$4:$A$33,0),MATCH(D57,'Droge kous'!$B$3:$T$3,0)),"")</f>
        <v/>
      </c>
      <c r="O57" s="392">
        <f>IF(AND(ISNUMBER(K57),ISNUMBER(N57)),K57*N57,0)</f>
        <v/>
      </c>
      <c r="P57" s="392">
        <f>IF(ISNUMBER(C57),IFERROR(N(G57)*VLOOKUP(C57,Sundry!$A$4:$G$20,4,TRUE),0),0)</f>
        <v/>
      </c>
      <c r="Q57" s="392">
        <f>IF(ISNUMBER(C57),IFERROR(N(H57)*VLOOKUP(C57,Sundry!$A$4:$G$20,5,TRUE),0),0)</f>
        <v/>
      </c>
      <c r="R57" s="392">
        <f>IF(ISNUMBER(C57),IFERROR(N(I57)*VLOOKUP(C57,Sundry!$A$4:$G$20,3,TRUE),0),0)</f>
        <v/>
      </c>
      <c r="S57" s="392">
        <f>IF(AND(ISNUMBER(C57),ISNUMBER(E57),UPPER(J57)="N",E57&lt;VLOOKUP(C57,Sundry!$A$4:$G$20,7,TRUE)),VLOOKUP(C57,Sundry!$A$4:$G$20,6,TRUE),0)</f>
        <v/>
      </c>
      <c r="T57" s="393">
        <f>M57+O57+P57+Q57+R57+S57</f>
        <v/>
      </c>
    </row>
    <row r="58">
      <c r="A58" s="388" t="n"/>
      <c r="B58" s="388" t="n"/>
      <c r="C58" s="389" t="n"/>
      <c r="D58" s="389" t="n"/>
      <c r="E58" s="390" t="n"/>
      <c r="F58" s="391" t="n"/>
      <c r="G58" s="306" t="n">
        <v>1</v>
      </c>
      <c r="H58" s="306" t="n">
        <v>1</v>
      </c>
      <c r="I58" s="306" t="n">
        <v>0</v>
      </c>
      <c r="J58" s="306" t="inlineStr">
        <is>
          <t>J</t>
        </is>
      </c>
      <c r="K58" s="392">
        <f>IF(ISNUMBER(E58),IF(ISNUMBER(F58),F58,Instellingen!$B$6)+Instellingen!$B$5,"")</f>
        <v/>
      </c>
      <c r="L58" s="392">
        <f>IFERROR(INDEX(Impregnatie!$B$4:$O$25,MATCH(C58,Impregnatie!$A$4:$A$25,0),MATCH(D58,Impregnatie!$B$3:$O$3,0))*(1+Instellingen!$B$4),"")</f>
        <v/>
      </c>
      <c r="M58" s="392">
        <f>IF(AND(ISNUMBER(E58),ISNUMBER(L58)),E58*L58,0)</f>
        <v/>
      </c>
      <c r="N58" s="392">
        <f>IFERROR(INDEX('Droge kous'!$B$4:$T$33,MATCH(C58,'Droge kous'!$A$4:$A$33,0),MATCH(D58,'Droge kous'!$B$3:$T$3,0)),"")</f>
        <v/>
      </c>
      <c r="O58" s="392">
        <f>IF(AND(ISNUMBER(K58),ISNUMBER(N58)),K58*N58,0)</f>
        <v/>
      </c>
      <c r="P58" s="392">
        <f>IF(ISNUMBER(C58),IFERROR(N(G58)*VLOOKUP(C58,Sundry!$A$4:$G$20,4,TRUE),0),0)</f>
        <v/>
      </c>
      <c r="Q58" s="392">
        <f>IF(ISNUMBER(C58),IFERROR(N(H58)*VLOOKUP(C58,Sundry!$A$4:$G$20,5,TRUE),0),0)</f>
        <v/>
      </c>
      <c r="R58" s="392">
        <f>IF(ISNUMBER(C58),IFERROR(N(I58)*VLOOKUP(C58,Sundry!$A$4:$G$20,3,TRUE),0),0)</f>
        <v/>
      </c>
      <c r="S58" s="392">
        <f>IF(AND(ISNUMBER(C58),ISNUMBER(E58),UPPER(J58)="N",E58&lt;VLOOKUP(C58,Sundry!$A$4:$G$20,7,TRUE)),VLOOKUP(C58,Sundry!$A$4:$G$20,6,TRUE),0)</f>
        <v/>
      </c>
      <c r="T58" s="393">
        <f>M58+O58+P58+Q58+R58+S58</f>
        <v/>
      </c>
    </row>
    <row r="59">
      <c r="A59" s="388" t="n"/>
      <c r="B59" s="388" t="n"/>
      <c r="C59" s="389" t="n"/>
      <c r="D59" s="389" t="n"/>
      <c r="E59" s="390" t="n"/>
      <c r="F59" s="391" t="n"/>
      <c r="G59" s="306" t="n">
        <v>1</v>
      </c>
      <c r="H59" s="306" t="n">
        <v>1</v>
      </c>
      <c r="I59" s="306" t="n">
        <v>0</v>
      </c>
      <c r="J59" s="306" t="inlineStr">
        <is>
          <t>J</t>
        </is>
      </c>
      <c r="K59" s="392">
        <f>IF(ISNUMBER(E59),IF(ISNUMBER(F59),F59,Instellingen!$B$6)+Instellingen!$B$5,"")</f>
        <v/>
      </c>
      <c r="L59" s="392">
        <f>IFERROR(INDEX(Impregnatie!$B$4:$O$25,MATCH(C59,Impregnatie!$A$4:$A$25,0),MATCH(D59,Impregnatie!$B$3:$O$3,0))*(1+Instellingen!$B$4),"")</f>
        <v/>
      </c>
      <c r="M59" s="392">
        <f>IF(AND(ISNUMBER(E59),ISNUMBER(L59)),E59*L59,0)</f>
        <v/>
      </c>
      <c r="N59" s="392">
        <f>IFERROR(INDEX('Droge kous'!$B$4:$T$33,MATCH(C59,'Droge kous'!$A$4:$A$33,0),MATCH(D59,'Droge kous'!$B$3:$T$3,0)),"")</f>
        <v/>
      </c>
      <c r="O59" s="392">
        <f>IF(AND(ISNUMBER(K59),ISNUMBER(N59)),K59*N59,0)</f>
        <v/>
      </c>
      <c r="P59" s="392">
        <f>IF(ISNUMBER(C59),IFERROR(N(G59)*VLOOKUP(C59,Sundry!$A$4:$G$20,4,TRUE),0),0)</f>
        <v/>
      </c>
      <c r="Q59" s="392">
        <f>IF(ISNUMBER(C59),IFERROR(N(H59)*VLOOKUP(C59,Sundry!$A$4:$G$20,5,TRUE),0),0)</f>
        <v/>
      </c>
      <c r="R59" s="392">
        <f>IF(ISNUMBER(C59),IFERROR(N(I59)*VLOOKUP(C59,Sundry!$A$4:$G$20,3,TRUE),0),0)</f>
        <v/>
      </c>
      <c r="S59" s="392">
        <f>IF(AND(ISNUMBER(C59),ISNUMBER(E59),UPPER(J59)="N",E59&lt;VLOOKUP(C59,Sundry!$A$4:$G$20,7,TRUE)),VLOOKUP(C59,Sundry!$A$4:$G$20,6,TRUE),0)</f>
        <v/>
      </c>
      <c r="T59" s="393">
        <f>M59+O59+P59+Q59+R59+S59</f>
        <v/>
      </c>
    </row>
    <row r="60">
      <c r="A60" s="388" t="n"/>
      <c r="B60" s="388" t="n"/>
      <c r="C60" s="389" t="n"/>
      <c r="D60" s="389" t="n"/>
      <c r="E60" s="390" t="n"/>
      <c r="F60" s="391" t="n"/>
      <c r="G60" s="306" t="n">
        <v>1</v>
      </c>
      <c r="H60" s="306" t="n">
        <v>1</v>
      </c>
      <c r="I60" s="306" t="n">
        <v>0</v>
      </c>
      <c r="J60" s="306" t="inlineStr">
        <is>
          <t>J</t>
        </is>
      </c>
      <c r="K60" s="392">
        <f>IF(ISNUMBER(E60),IF(ISNUMBER(F60),F60,Instellingen!$B$6)+Instellingen!$B$5,"")</f>
        <v/>
      </c>
      <c r="L60" s="392">
        <f>IFERROR(INDEX(Impregnatie!$B$4:$O$25,MATCH(C60,Impregnatie!$A$4:$A$25,0),MATCH(D60,Impregnatie!$B$3:$O$3,0))*(1+Instellingen!$B$4),"")</f>
        <v/>
      </c>
      <c r="M60" s="392">
        <f>IF(AND(ISNUMBER(E60),ISNUMBER(L60)),E60*L60,0)</f>
        <v/>
      </c>
      <c r="N60" s="392">
        <f>IFERROR(INDEX('Droge kous'!$B$4:$T$33,MATCH(C60,'Droge kous'!$A$4:$A$33,0),MATCH(D60,'Droge kous'!$B$3:$T$3,0)),"")</f>
        <v/>
      </c>
      <c r="O60" s="392">
        <f>IF(AND(ISNUMBER(K60),ISNUMBER(N60)),K60*N60,0)</f>
        <v/>
      </c>
      <c r="P60" s="392">
        <f>IF(ISNUMBER(C60),IFERROR(N(G60)*VLOOKUP(C60,Sundry!$A$4:$G$20,4,TRUE),0),0)</f>
        <v/>
      </c>
      <c r="Q60" s="392">
        <f>IF(ISNUMBER(C60),IFERROR(N(H60)*VLOOKUP(C60,Sundry!$A$4:$G$20,5,TRUE),0),0)</f>
        <v/>
      </c>
      <c r="R60" s="392">
        <f>IF(ISNUMBER(C60),IFERROR(N(I60)*VLOOKUP(C60,Sundry!$A$4:$G$20,3,TRUE),0),0)</f>
        <v/>
      </c>
      <c r="S60" s="392">
        <f>IF(AND(ISNUMBER(C60),ISNUMBER(E60),UPPER(J60)="N",E60&lt;VLOOKUP(C60,Sundry!$A$4:$G$20,7,TRUE)),VLOOKUP(C60,Sundry!$A$4:$G$20,6,TRUE),0)</f>
        <v/>
      </c>
      <c r="T60" s="393">
        <f>M60+O60+P60+Q60+R60+S60</f>
        <v/>
      </c>
    </row>
    <row r="61">
      <c r="A61" s="388" t="n"/>
      <c r="B61" s="388" t="n"/>
      <c r="C61" s="389" t="n"/>
      <c r="D61" s="389" t="n"/>
      <c r="E61" s="390" t="n"/>
      <c r="F61" s="391" t="n"/>
      <c r="G61" s="306" t="n">
        <v>1</v>
      </c>
      <c r="H61" s="306" t="n">
        <v>1</v>
      </c>
      <c r="I61" s="306" t="n">
        <v>0</v>
      </c>
      <c r="J61" s="306" t="inlineStr">
        <is>
          <t>J</t>
        </is>
      </c>
      <c r="K61" s="392">
        <f>IF(ISNUMBER(E61),IF(ISNUMBER(F61),F61,Instellingen!$B$6)+Instellingen!$B$5,"")</f>
        <v/>
      </c>
      <c r="L61" s="392">
        <f>IFERROR(INDEX(Impregnatie!$B$4:$O$25,MATCH(C61,Impregnatie!$A$4:$A$25,0),MATCH(D61,Impregnatie!$B$3:$O$3,0))*(1+Instellingen!$B$4),"")</f>
        <v/>
      </c>
      <c r="M61" s="392">
        <f>IF(AND(ISNUMBER(E61),ISNUMBER(L61)),E61*L61,0)</f>
        <v/>
      </c>
      <c r="N61" s="392">
        <f>IFERROR(INDEX('Droge kous'!$B$4:$T$33,MATCH(C61,'Droge kous'!$A$4:$A$33,0),MATCH(D61,'Droge kous'!$B$3:$T$3,0)),"")</f>
        <v/>
      </c>
      <c r="O61" s="392">
        <f>IF(AND(ISNUMBER(K61),ISNUMBER(N61)),K61*N61,0)</f>
        <v/>
      </c>
      <c r="P61" s="392">
        <f>IF(ISNUMBER(C61),IFERROR(N(G61)*VLOOKUP(C61,Sundry!$A$4:$G$20,4,TRUE),0),0)</f>
        <v/>
      </c>
      <c r="Q61" s="392">
        <f>IF(ISNUMBER(C61),IFERROR(N(H61)*VLOOKUP(C61,Sundry!$A$4:$G$20,5,TRUE),0),0)</f>
        <v/>
      </c>
      <c r="R61" s="392">
        <f>IF(ISNUMBER(C61),IFERROR(N(I61)*VLOOKUP(C61,Sundry!$A$4:$G$20,3,TRUE),0),0)</f>
        <v/>
      </c>
      <c r="S61" s="392">
        <f>IF(AND(ISNUMBER(C61),ISNUMBER(E61),UPPER(J61)="N",E61&lt;VLOOKUP(C61,Sundry!$A$4:$G$20,7,TRUE)),VLOOKUP(C61,Sundry!$A$4:$G$20,6,TRUE),0)</f>
        <v/>
      </c>
      <c r="T61" s="393">
        <f>M61+O61+P61+Q61+R61+S61</f>
        <v/>
      </c>
    </row>
    <row r="62">
      <c r="A62" s="388" t="n"/>
      <c r="B62" s="388" t="n"/>
      <c r="C62" s="389" t="n"/>
      <c r="D62" s="389" t="n"/>
      <c r="E62" s="390" t="n"/>
      <c r="F62" s="391" t="n"/>
      <c r="G62" s="306" t="n">
        <v>1</v>
      </c>
      <c r="H62" s="306" t="n">
        <v>1</v>
      </c>
      <c r="I62" s="306" t="n">
        <v>0</v>
      </c>
      <c r="J62" s="306" t="inlineStr">
        <is>
          <t>J</t>
        </is>
      </c>
      <c r="K62" s="392">
        <f>IF(ISNUMBER(E62),IF(ISNUMBER(F62),F62,Instellingen!$B$6)+Instellingen!$B$5,"")</f>
        <v/>
      </c>
      <c r="L62" s="392">
        <f>IFERROR(INDEX(Impregnatie!$B$4:$O$25,MATCH(C62,Impregnatie!$A$4:$A$25,0),MATCH(D62,Impregnatie!$B$3:$O$3,0))*(1+Instellingen!$B$4),"")</f>
        <v/>
      </c>
      <c r="M62" s="392">
        <f>IF(AND(ISNUMBER(E62),ISNUMBER(L62)),E62*L62,0)</f>
        <v/>
      </c>
      <c r="N62" s="392">
        <f>IFERROR(INDEX('Droge kous'!$B$4:$T$33,MATCH(C62,'Droge kous'!$A$4:$A$33,0),MATCH(D62,'Droge kous'!$B$3:$T$3,0)),"")</f>
        <v/>
      </c>
      <c r="O62" s="392">
        <f>IF(AND(ISNUMBER(K62),ISNUMBER(N62)),K62*N62,0)</f>
        <v/>
      </c>
      <c r="P62" s="392">
        <f>IF(ISNUMBER(C62),IFERROR(N(G62)*VLOOKUP(C62,Sundry!$A$4:$G$20,4,TRUE),0),0)</f>
        <v/>
      </c>
      <c r="Q62" s="392">
        <f>IF(ISNUMBER(C62),IFERROR(N(H62)*VLOOKUP(C62,Sundry!$A$4:$G$20,5,TRUE),0),0)</f>
        <v/>
      </c>
      <c r="R62" s="392">
        <f>IF(ISNUMBER(C62),IFERROR(N(I62)*VLOOKUP(C62,Sundry!$A$4:$G$20,3,TRUE),0),0)</f>
        <v/>
      </c>
      <c r="S62" s="392">
        <f>IF(AND(ISNUMBER(C62),ISNUMBER(E62),UPPER(J62)="N",E62&lt;VLOOKUP(C62,Sundry!$A$4:$G$20,7,TRUE)),VLOOKUP(C62,Sundry!$A$4:$G$20,6,TRUE),0)</f>
        <v/>
      </c>
      <c r="T62" s="393">
        <f>M62+O62+P62+Q62+R62+S62</f>
        <v/>
      </c>
    </row>
    <row r="63">
      <c r="A63" s="388" t="n"/>
      <c r="B63" s="388" t="n"/>
      <c r="C63" s="389" t="n"/>
      <c r="D63" s="389" t="n"/>
      <c r="E63" s="390" t="n"/>
      <c r="F63" s="391" t="n"/>
      <c r="G63" s="306" t="n">
        <v>1</v>
      </c>
      <c r="H63" s="306" t="n">
        <v>1</v>
      </c>
      <c r="I63" s="306" t="n">
        <v>0</v>
      </c>
      <c r="J63" s="306" t="inlineStr">
        <is>
          <t>J</t>
        </is>
      </c>
      <c r="K63" s="392">
        <f>IF(ISNUMBER(E63),IF(ISNUMBER(F63),F63,Instellingen!$B$6)+Instellingen!$B$5,"")</f>
        <v/>
      </c>
      <c r="L63" s="392">
        <f>IFERROR(INDEX(Impregnatie!$B$4:$O$25,MATCH(C63,Impregnatie!$A$4:$A$25,0),MATCH(D63,Impregnatie!$B$3:$O$3,0))*(1+Instellingen!$B$4),"")</f>
        <v/>
      </c>
      <c r="M63" s="392">
        <f>IF(AND(ISNUMBER(E63),ISNUMBER(L63)),E63*L63,0)</f>
        <v/>
      </c>
      <c r="N63" s="392">
        <f>IFERROR(INDEX('Droge kous'!$B$4:$T$33,MATCH(C63,'Droge kous'!$A$4:$A$33,0),MATCH(D63,'Droge kous'!$B$3:$T$3,0)),"")</f>
        <v/>
      </c>
      <c r="O63" s="392">
        <f>IF(AND(ISNUMBER(K63),ISNUMBER(N63)),K63*N63,0)</f>
        <v/>
      </c>
      <c r="P63" s="392">
        <f>IF(ISNUMBER(C63),IFERROR(N(G63)*VLOOKUP(C63,Sundry!$A$4:$G$20,4,TRUE),0),0)</f>
        <v/>
      </c>
      <c r="Q63" s="392">
        <f>IF(ISNUMBER(C63),IFERROR(N(H63)*VLOOKUP(C63,Sundry!$A$4:$G$20,5,TRUE),0),0)</f>
        <v/>
      </c>
      <c r="R63" s="392">
        <f>IF(ISNUMBER(C63),IFERROR(N(I63)*VLOOKUP(C63,Sundry!$A$4:$G$20,3,TRUE),0),0)</f>
        <v/>
      </c>
      <c r="S63" s="392">
        <f>IF(AND(ISNUMBER(C63),ISNUMBER(E63),UPPER(J63)="N",E63&lt;VLOOKUP(C63,Sundry!$A$4:$G$20,7,TRUE)),VLOOKUP(C63,Sundry!$A$4:$G$20,6,TRUE),0)</f>
        <v/>
      </c>
      <c r="T63" s="393">
        <f>M63+O63+P63+Q63+R63+S63</f>
        <v/>
      </c>
    </row>
    <row r="64">
      <c r="A64" s="388" t="n"/>
      <c r="B64" s="388" t="n"/>
      <c r="C64" s="389" t="n"/>
      <c r="D64" s="389" t="n"/>
      <c r="E64" s="390" t="n"/>
      <c r="F64" s="391" t="n"/>
      <c r="G64" s="306" t="n">
        <v>1</v>
      </c>
      <c r="H64" s="306" t="n">
        <v>1</v>
      </c>
      <c r="I64" s="306" t="n">
        <v>0</v>
      </c>
      <c r="J64" s="306" t="inlineStr">
        <is>
          <t>J</t>
        </is>
      </c>
      <c r="K64" s="392">
        <f>IF(ISNUMBER(E64),IF(ISNUMBER(F64),F64,Instellingen!$B$6)+Instellingen!$B$5,"")</f>
        <v/>
      </c>
      <c r="L64" s="392">
        <f>IFERROR(INDEX(Impregnatie!$B$4:$O$25,MATCH(C64,Impregnatie!$A$4:$A$25,0),MATCH(D64,Impregnatie!$B$3:$O$3,0))*(1+Instellingen!$B$4),"")</f>
        <v/>
      </c>
      <c r="M64" s="392">
        <f>IF(AND(ISNUMBER(E64),ISNUMBER(L64)),E64*L64,0)</f>
        <v/>
      </c>
      <c r="N64" s="392">
        <f>IFERROR(INDEX('Droge kous'!$B$4:$T$33,MATCH(C64,'Droge kous'!$A$4:$A$33,0),MATCH(D64,'Droge kous'!$B$3:$T$3,0)),"")</f>
        <v/>
      </c>
      <c r="O64" s="392">
        <f>IF(AND(ISNUMBER(K64),ISNUMBER(N64)),K64*N64,0)</f>
        <v/>
      </c>
      <c r="P64" s="392">
        <f>IF(ISNUMBER(C64),IFERROR(N(G64)*VLOOKUP(C64,Sundry!$A$4:$G$20,4,TRUE),0),0)</f>
        <v/>
      </c>
      <c r="Q64" s="392">
        <f>IF(ISNUMBER(C64),IFERROR(N(H64)*VLOOKUP(C64,Sundry!$A$4:$G$20,5,TRUE),0),0)</f>
        <v/>
      </c>
      <c r="R64" s="392">
        <f>IF(ISNUMBER(C64),IFERROR(N(I64)*VLOOKUP(C64,Sundry!$A$4:$G$20,3,TRUE),0),0)</f>
        <v/>
      </c>
      <c r="S64" s="392">
        <f>IF(AND(ISNUMBER(C64),ISNUMBER(E64),UPPER(J64)="N",E64&lt;VLOOKUP(C64,Sundry!$A$4:$G$20,7,TRUE)),VLOOKUP(C64,Sundry!$A$4:$G$20,6,TRUE),0)</f>
        <v/>
      </c>
      <c r="T64" s="393">
        <f>M64+O64+P64+Q64+R64+S64</f>
        <v/>
      </c>
    </row>
    <row r="65">
      <c r="A65" s="388" t="n"/>
      <c r="B65" s="388" t="n"/>
      <c r="C65" s="389" t="n"/>
      <c r="D65" s="389" t="n"/>
      <c r="E65" s="390" t="n"/>
      <c r="F65" s="391" t="n"/>
      <c r="G65" s="306" t="n">
        <v>1</v>
      </c>
      <c r="H65" s="306" t="n">
        <v>1</v>
      </c>
      <c r="I65" s="306" t="n">
        <v>0</v>
      </c>
      <c r="J65" s="306" t="inlineStr">
        <is>
          <t>J</t>
        </is>
      </c>
      <c r="K65" s="392">
        <f>IF(ISNUMBER(E65),IF(ISNUMBER(F65),F65,Instellingen!$B$6)+Instellingen!$B$5,"")</f>
        <v/>
      </c>
      <c r="L65" s="392">
        <f>IFERROR(INDEX(Impregnatie!$B$4:$O$25,MATCH(C65,Impregnatie!$A$4:$A$25,0),MATCH(D65,Impregnatie!$B$3:$O$3,0))*(1+Instellingen!$B$4),"")</f>
        <v/>
      </c>
      <c r="M65" s="392">
        <f>IF(AND(ISNUMBER(E65),ISNUMBER(L65)),E65*L65,0)</f>
        <v/>
      </c>
      <c r="N65" s="392">
        <f>IFERROR(INDEX('Droge kous'!$B$4:$T$33,MATCH(C65,'Droge kous'!$A$4:$A$33,0),MATCH(D65,'Droge kous'!$B$3:$T$3,0)),"")</f>
        <v/>
      </c>
      <c r="O65" s="392">
        <f>IF(AND(ISNUMBER(K65),ISNUMBER(N65)),K65*N65,0)</f>
        <v/>
      </c>
      <c r="P65" s="392">
        <f>IF(ISNUMBER(C65),IFERROR(N(G65)*VLOOKUP(C65,Sundry!$A$4:$G$20,4,TRUE),0),0)</f>
        <v/>
      </c>
      <c r="Q65" s="392">
        <f>IF(ISNUMBER(C65),IFERROR(N(H65)*VLOOKUP(C65,Sundry!$A$4:$G$20,5,TRUE),0),0)</f>
        <v/>
      </c>
      <c r="R65" s="392">
        <f>IF(ISNUMBER(C65),IFERROR(N(I65)*VLOOKUP(C65,Sundry!$A$4:$G$20,3,TRUE),0),0)</f>
        <v/>
      </c>
      <c r="S65" s="392">
        <f>IF(AND(ISNUMBER(C65),ISNUMBER(E65),UPPER(J65)="N",E65&lt;VLOOKUP(C65,Sundry!$A$4:$G$20,7,TRUE)),VLOOKUP(C65,Sundry!$A$4:$G$20,6,TRUE),0)</f>
        <v/>
      </c>
      <c r="T65" s="393">
        <f>M65+O65+P65+Q65+R65+S65</f>
        <v/>
      </c>
    </row>
    <row r="66">
      <c r="A66" s="388" t="n"/>
      <c r="B66" s="388" t="n"/>
      <c r="C66" s="389" t="n"/>
      <c r="D66" s="389" t="n"/>
      <c r="E66" s="390" t="n"/>
      <c r="F66" s="391" t="n"/>
      <c r="G66" s="306" t="n">
        <v>1</v>
      </c>
      <c r="H66" s="306" t="n">
        <v>1</v>
      </c>
      <c r="I66" s="306" t="n">
        <v>0</v>
      </c>
      <c r="J66" s="306" t="inlineStr">
        <is>
          <t>J</t>
        </is>
      </c>
      <c r="K66" s="392">
        <f>IF(ISNUMBER(E66),IF(ISNUMBER(F66),F66,Instellingen!$B$6)+Instellingen!$B$5,"")</f>
        <v/>
      </c>
      <c r="L66" s="392">
        <f>IFERROR(INDEX(Impregnatie!$B$4:$O$25,MATCH(C66,Impregnatie!$A$4:$A$25,0),MATCH(D66,Impregnatie!$B$3:$O$3,0))*(1+Instellingen!$B$4),"")</f>
        <v/>
      </c>
      <c r="M66" s="392">
        <f>IF(AND(ISNUMBER(E66),ISNUMBER(L66)),E66*L66,0)</f>
        <v/>
      </c>
      <c r="N66" s="392">
        <f>IFERROR(INDEX('Droge kous'!$B$4:$T$33,MATCH(C66,'Droge kous'!$A$4:$A$33,0),MATCH(D66,'Droge kous'!$B$3:$T$3,0)),"")</f>
        <v/>
      </c>
      <c r="O66" s="392">
        <f>IF(AND(ISNUMBER(K66),ISNUMBER(N66)),K66*N66,0)</f>
        <v/>
      </c>
      <c r="P66" s="392">
        <f>IF(ISNUMBER(C66),IFERROR(N(G66)*VLOOKUP(C66,Sundry!$A$4:$G$20,4,TRUE),0),0)</f>
        <v/>
      </c>
      <c r="Q66" s="392">
        <f>IF(ISNUMBER(C66),IFERROR(N(H66)*VLOOKUP(C66,Sundry!$A$4:$G$20,5,TRUE),0),0)</f>
        <v/>
      </c>
      <c r="R66" s="392">
        <f>IF(ISNUMBER(C66),IFERROR(N(I66)*VLOOKUP(C66,Sundry!$A$4:$G$20,3,TRUE),0),0)</f>
        <v/>
      </c>
      <c r="S66" s="392">
        <f>IF(AND(ISNUMBER(C66),ISNUMBER(E66),UPPER(J66)="N",E66&lt;VLOOKUP(C66,Sundry!$A$4:$G$20,7,TRUE)),VLOOKUP(C66,Sundry!$A$4:$G$20,6,TRUE),0)</f>
        <v/>
      </c>
      <c r="T66" s="393">
        <f>M66+O66+P66+Q66+R66+S66</f>
        <v/>
      </c>
    </row>
    <row r="67">
      <c r="A67" s="388" t="n"/>
      <c r="B67" s="388" t="n"/>
      <c r="C67" s="389" t="n"/>
      <c r="D67" s="389" t="n"/>
      <c r="E67" s="390" t="n"/>
      <c r="F67" s="391" t="n"/>
      <c r="G67" s="306" t="n">
        <v>1</v>
      </c>
      <c r="H67" s="306" t="n">
        <v>1</v>
      </c>
      <c r="I67" s="306" t="n">
        <v>0</v>
      </c>
      <c r="J67" s="306" t="inlineStr">
        <is>
          <t>J</t>
        </is>
      </c>
      <c r="K67" s="392">
        <f>IF(ISNUMBER(E67),IF(ISNUMBER(F67),F67,Instellingen!$B$6)+Instellingen!$B$5,"")</f>
        <v/>
      </c>
      <c r="L67" s="392">
        <f>IFERROR(INDEX(Impregnatie!$B$4:$O$25,MATCH(C67,Impregnatie!$A$4:$A$25,0),MATCH(D67,Impregnatie!$B$3:$O$3,0))*(1+Instellingen!$B$4),"")</f>
        <v/>
      </c>
      <c r="M67" s="392">
        <f>IF(AND(ISNUMBER(E67),ISNUMBER(L67)),E67*L67,0)</f>
        <v/>
      </c>
      <c r="N67" s="392">
        <f>IFERROR(INDEX('Droge kous'!$B$4:$T$33,MATCH(C67,'Droge kous'!$A$4:$A$33,0),MATCH(D67,'Droge kous'!$B$3:$T$3,0)),"")</f>
        <v/>
      </c>
      <c r="O67" s="392">
        <f>IF(AND(ISNUMBER(K67),ISNUMBER(N67)),K67*N67,0)</f>
        <v/>
      </c>
      <c r="P67" s="392">
        <f>IF(ISNUMBER(C67),IFERROR(N(G67)*VLOOKUP(C67,Sundry!$A$4:$G$20,4,TRUE),0),0)</f>
        <v/>
      </c>
      <c r="Q67" s="392">
        <f>IF(ISNUMBER(C67),IFERROR(N(H67)*VLOOKUP(C67,Sundry!$A$4:$G$20,5,TRUE),0),0)</f>
        <v/>
      </c>
      <c r="R67" s="392">
        <f>IF(ISNUMBER(C67),IFERROR(N(I67)*VLOOKUP(C67,Sundry!$A$4:$G$20,3,TRUE),0),0)</f>
        <v/>
      </c>
      <c r="S67" s="392">
        <f>IF(AND(ISNUMBER(C67),ISNUMBER(E67),UPPER(J67)="N",E67&lt;VLOOKUP(C67,Sundry!$A$4:$G$20,7,TRUE)),VLOOKUP(C67,Sundry!$A$4:$G$20,6,TRUE),0)</f>
        <v/>
      </c>
      <c r="T67" s="393">
        <f>M67+O67+P67+Q67+R67+S67</f>
        <v/>
      </c>
    </row>
    <row r="68">
      <c r="A68" s="388" t="n"/>
      <c r="B68" s="388" t="n"/>
      <c r="C68" s="389" t="n"/>
      <c r="D68" s="389" t="n"/>
      <c r="E68" s="390" t="n"/>
      <c r="F68" s="391" t="n"/>
      <c r="G68" s="306" t="n">
        <v>1</v>
      </c>
      <c r="H68" s="306" t="n">
        <v>1</v>
      </c>
      <c r="I68" s="306" t="n">
        <v>0</v>
      </c>
      <c r="J68" s="306" t="inlineStr">
        <is>
          <t>J</t>
        </is>
      </c>
      <c r="K68" s="392">
        <f>IF(ISNUMBER(E68),IF(ISNUMBER(F68),F68,Instellingen!$B$6)+Instellingen!$B$5,"")</f>
        <v/>
      </c>
      <c r="L68" s="392">
        <f>IFERROR(INDEX(Impregnatie!$B$4:$O$25,MATCH(C68,Impregnatie!$A$4:$A$25,0),MATCH(D68,Impregnatie!$B$3:$O$3,0))*(1+Instellingen!$B$4),"")</f>
        <v/>
      </c>
      <c r="M68" s="392">
        <f>IF(AND(ISNUMBER(E68),ISNUMBER(L68)),E68*L68,0)</f>
        <v/>
      </c>
      <c r="N68" s="392">
        <f>IFERROR(INDEX('Droge kous'!$B$4:$T$33,MATCH(C68,'Droge kous'!$A$4:$A$33,0),MATCH(D68,'Droge kous'!$B$3:$T$3,0)),"")</f>
        <v/>
      </c>
      <c r="O68" s="392">
        <f>IF(AND(ISNUMBER(K68),ISNUMBER(N68)),K68*N68,0)</f>
        <v/>
      </c>
      <c r="P68" s="392">
        <f>IF(ISNUMBER(C68),IFERROR(N(G68)*VLOOKUP(C68,Sundry!$A$4:$G$20,4,TRUE),0),0)</f>
        <v/>
      </c>
      <c r="Q68" s="392">
        <f>IF(ISNUMBER(C68),IFERROR(N(H68)*VLOOKUP(C68,Sundry!$A$4:$G$20,5,TRUE),0),0)</f>
        <v/>
      </c>
      <c r="R68" s="392">
        <f>IF(ISNUMBER(C68),IFERROR(N(I68)*VLOOKUP(C68,Sundry!$A$4:$G$20,3,TRUE),0),0)</f>
        <v/>
      </c>
      <c r="S68" s="392">
        <f>IF(AND(ISNUMBER(C68),ISNUMBER(E68),UPPER(J68)="N",E68&lt;VLOOKUP(C68,Sundry!$A$4:$G$20,7,TRUE)),VLOOKUP(C68,Sundry!$A$4:$G$20,6,TRUE),0)</f>
        <v/>
      </c>
      <c r="T68" s="393">
        <f>M68+O68+P68+Q68+R68+S68</f>
        <v/>
      </c>
    </row>
    <row r="69">
      <c r="A69" s="388" t="n"/>
      <c r="B69" s="388" t="n"/>
      <c r="C69" s="389" t="n"/>
      <c r="D69" s="389" t="n"/>
      <c r="E69" s="390" t="n"/>
      <c r="F69" s="391" t="n"/>
      <c r="G69" s="306" t="n">
        <v>1</v>
      </c>
      <c r="H69" s="306" t="n">
        <v>1</v>
      </c>
      <c r="I69" s="306" t="n">
        <v>0</v>
      </c>
      <c r="J69" s="306" t="inlineStr">
        <is>
          <t>J</t>
        </is>
      </c>
      <c r="K69" s="392">
        <f>IF(ISNUMBER(E69),IF(ISNUMBER(F69),F69,Instellingen!$B$6)+Instellingen!$B$5,"")</f>
        <v/>
      </c>
      <c r="L69" s="392">
        <f>IFERROR(INDEX(Impregnatie!$B$4:$O$25,MATCH(C69,Impregnatie!$A$4:$A$25,0),MATCH(D69,Impregnatie!$B$3:$O$3,0))*(1+Instellingen!$B$4),"")</f>
        <v/>
      </c>
      <c r="M69" s="392">
        <f>IF(AND(ISNUMBER(E69),ISNUMBER(L69)),E69*L69,0)</f>
        <v/>
      </c>
      <c r="N69" s="392">
        <f>IFERROR(INDEX('Droge kous'!$B$4:$T$33,MATCH(C69,'Droge kous'!$A$4:$A$33,0),MATCH(D69,'Droge kous'!$B$3:$T$3,0)),"")</f>
        <v/>
      </c>
      <c r="O69" s="392">
        <f>IF(AND(ISNUMBER(K69),ISNUMBER(N69)),K69*N69,0)</f>
        <v/>
      </c>
      <c r="P69" s="392">
        <f>IF(ISNUMBER(C69),IFERROR(N(G69)*VLOOKUP(C69,Sundry!$A$4:$G$20,4,TRUE),0),0)</f>
        <v/>
      </c>
      <c r="Q69" s="392">
        <f>IF(ISNUMBER(C69),IFERROR(N(H69)*VLOOKUP(C69,Sundry!$A$4:$G$20,5,TRUE),0),0)</f>
        <v/>
      </c>
      <c r="R69" s="392">
        <f>IF(ISNUMBER(C69),IFERROR(N(I69)*VLOOKUP(C69,Sundry!$A$4:$G$20,3,TRUE),0),0)</f>
        <v/>
      </c>
      <c r="S69" s="392">
        <f>IF(AND(ISNUMBER(C69),ISNUMBER(E69),UPPER(J69)="N",E69&lt;VLOOKUP(C69,Sundry!$A$4:$G$20,7,TRUE)),VLOOKUP(C69,Sundry!$A$4:$G$20,6,TRUE),0)</f>
        <v/>
      </c>
      <c r="T69" s="393">
        <f>M69+O69+P69+Q69+R69+S69</f>
        <v/>
      </c>
    </row>
    <row r="70">
      <c r="A70" s="388" t="n"/>
      <c r="B70" s="388" t="n"/>
      <c r="C70" s="389" t="n"/>
      <c r="D70" s="389" t="n"/>
      <c r="E70" s="390" t="n"/>
      <c r="F70" s="391" t="n"/>
      <c r="G70" s="306" t="n">
        <v>1</v>
      </c>
      <c r="H70" s="306" t="n">
        <v>1</v>
      </c>
      <c r="I70" s="306" t="n">
        <v>0</v>
      </c>
      <c r="J70" s="306" t="inlineStr">
        <is>
          <t>J</t>
        </is>
      </c>
      <c r="K70" s="392">
        <f>IF(ISNUMBER(E70),IF(ISNUMBER(F70),F70,Instellingen!$B$6)+Instellingen!$B$5,"")</f>
        <v/>
      </c>
      <c r="L70" s="392">
        <f>IFERROR(INDEX(Impregnatie!$B$4:$O$25,MATCH(C70,Impregnatie!$A$4:$A$25,0),MATCH(D70,Impregnatie!$B$3:$O$3,0))*(1+Instellingen!$B$4),"")</f>
        <v/>
      </c>
      <c r="M70" s="392">
        <f>IF(AND(ISNUMBER(E70),ISNUMBER(L70)),E70*L70,0)</f>
        <v/>
      </c>
      <c r="N70" s="392">
        <f>IFERROR(INDEX('Droge kous'!$B$4:$T$33,MATCH(C70,'Droge kous'!$A$4:$A$33,0),MATCH(D70,'Droge kous'!$B$3:$T$3,0)),"")</f>
        <v/>
      </c>
      <c r="O70" s="392">
        <f>IF(AND(ISNUMBER(K70),ISNUMBER(N70)),K70*N70,0)</f>
        <v/>
      </c>
      <c r="P70" s="392">
        <f>IF(ISNUMBER(C70),IFERROR(N(G70)*VLOOKUP(C70,Sundry!$A$4:$G$20,4,TRUE),0),0)</f>
        <v/>
      </c>
      <c r="Q70" s="392">
        <f>IF(ISNUMBER(C70),IFERROR(N(H70)*VLOOKUP(C70,Sundry!$A$4:$G$20,5,TRUE),0),0)</f>
        <v/>
      </c>
      <c r="R70" s="392">
        <f>IF(ISNUMBER(C70),IFERROR(N(I70)*VLOOKUP(C70,Sundry!$A$4:$G$20,3,TRUE),0),0)</f>
        <v/>
      </c>
      <c r="S70" s="392">
        <f>IF(AND(ISNUMBER(C70),ISNUMBER(E70),UPPER(J70)="N",E70&lt;VLOOKUP(C70,Sundry!$A$4:$G$20,7,TRUE)),VLOOKUP(C70,Sundry!$A$4:$G$20,6,TRUE),0)</f>
        <v/>
      </c>
      <c r="T70" s="393">
        <f>M70+O70+P70+Q70+R70+S70</f>
        <v/>
      </c>
    </row>
    <row r="71">
      <c r="A71" s="388" t="n"/>
      <c r="B71" s="388" t="n"/>
      <c r="C71" s="389" t="n"/>
      <c r="D71" s="389" t="n"/>
      <c r="E71" s="390" t="n"/>
      <c r="F71" s="391" t="n"/>
      <c r="G71" s="306" t="n">
        <v>1</v>
      </c>
      <c r="H71" s="306" t="n">
        <v>1</v>
      </c>
      <c r="I71" s="306" t="n">
        <v>0</v>
      </c>
      <c r="J71" s="306" t="inlineStr">
        <is>
          <t>J</t>
        </is>
      </c>
      <c r="K71" s="392">
        <f>IF(ISNUMBER(E71),IF(ISNUMBER(F71),F71,Instellingen!$B$6)+Instellingen!$B$5,"")</f>
        <v/>
      </c>
      <c r="L71" s="392">
        <f>IFERROR(INDEX(Impregnatie!$B$4:$O$25,MATCH(C71,Impregnatie!$A$4:$A$25,0),MATCH(D71,Impregnatie!$B$3:$O$3,0))*(1+Instellingen!$B$4),"")</f>
        <v/>
      </c>
      <c r="M71" s="392">
        <f>IF(AND(ISNUMBER(E71),ISNUMBER(L71)),E71*L71,0)</f>
        <v/>
      </c>
      <c r="N71" s="392">
        <f>IFERROR(INDEX('Droge kous'!$B$4:$T$33,MATCH(C71,'Droge kous'!$A$4:$A$33,0),MATCH(D71,'Droge kous'!$B$3:$T$3,0)),"")</f>
        <v/>
      </c>
      <c r="O71" s="392">
        <f>IF(AND(ISNUMBER(K71),ISNUMBER(N71)),K71*N71,0)</f>
        <v/>
      </c>
      <c r="P71" s="392">
        <f>IF(ISNUMBER(C71),IFERROR(N(G71)*VLOOKUP(C71,Sundry!$A$4:$G$20,4,TRUE),0),0)</f>
        <v/>
      </c>
      <c r="Q71" s="392">
        <f>IF(ISNUMBER(C71),IFERROR(N(H71)*VLOOKUP(C71,Sundry!$A$4:$G$20,5,TRUE),0),0)</f>
        <v/>
      </c>
      <c r="R71" s="392">
        <f>IF(ISNUMBER(C71),IFERROR(N(I71)*VLOOKUP(C71,Sundry!$A$4:$G$20,3,TRUE),0),0)</f>
        <v/>
      </c>
      <c r="S71" s="392">
        <f>IF(AND(ISNUMBER(C71),ISNUMBER(E71),UPPER(J71)="N",E71&lt;VLOOKUP(C71,Sundry!$A$4:$G$20,7,TRUE)),VLOOKUP(C71,Sundry!$A$4:$G$20,6,TRUE),0)</f>
        <v/>
      </c>
      <c r="T71" s="393">
        <f>M71+O71+P71+Q71+R71+S71</f>
        <v/>
      </c>
    </row>
    <row r="72">
      <c r="A72" s="388" t="n"/>
      <c r="B72" s="388" t="n"/>
      <c r="C72" s="389" t="n"/>
      <c r="D72" s="389" t="n"/>
      <c r="E72" s="390" t="n"/>
      <c r="F72" s="391" t="n"/>
      <c r="G72" s="306" t="n">
        <v>1</v>
      </c>
      <c r="H72" s="306" t="n">
        <v>1</v>
      </c>
      <c r="I72" s="306" t="n">
        <v>0</v>
      </c>
      <c r="J72" s="306" t="inlineStr">
        <is>
          <t>J</t>
        </is>
      </c>
      <c r="K72" s="392">
        <f>IF(ISNUMBER(E72),IF(ISNUMBER(F72),F72,Instellingen!$B$6)+Instellingen!$B$5,"")</f>
        <v/>
      </c>
      <c r="L72" s="392">
        <f>IFERROR(INDEX(Impregnatie!$B$4:$O$25,MATCH(C72,Impregnatie!$A$4:$A$25,0),MATCH(D72,Impregnatie!$B$3:$O$3,0))*(1+Instellingen!$B$4),"")</f>
        <v/>
      </c>
      <c r="M72" s="392">
        <f>IF(AND(ISNUMBER(E72),ISNUMBER(L72)),E72*L72,0)</f>
        <v/>
      </c>
      <c r="N72" s="392">
        <f>IFERROR(INDEX('Droge kous'!$B$4:$T$33,MATCH(C72,'Droge kous'!$A$4:$A$33,0),MATCH(D72,'Droge kous'!$B$3:$T$3,0)),"")</f>
        <v/>
      </c>
      <c r="O72" s="392">
        <f>IF(AND(ISNUMBER(K72),ISNUMBER(N72)),K72*N72,0)</f>
        <v/>
      </c>
      <c r="P72" s="392">
        <f>IF(ISNUMBER(C72),IFERROR(N(G72)*VLOOKUP(C72,Sundry!$A$4:$G$20,4,TRUE),0),0)</f>
        <v/>
      </c>
      <c r="Q72" s="392">
        <f>IF(ISNUMBER(C72),IFERROR(N(H72)*VLOOKUP(C72,Sundry!$A$4:$G$20,5,TRUE),0),0)</f>
        <v/>
      </c>
      <c r="R72" s="392">
        <f>IF(ISNUMBER(C72),IFERROR(N(I72)*VLOOKUP(C72,Sundry!$A$4:$G$20,3,TRUE),0),0)</f>
        <v/>
      </c>
      <c r="S72" s="392">
        <f>IF(AND(ISNUMBER(C72),ISNUMBER(E72),UPPER(J72)="N",E72&lt;VLOOKUP(C72,Sundry!$A$4:$G$20,7,TRUE)),VLOOKUP(C72,Sundry!$A$4:$G$20,6,TRUE),0)</f>
        <v/>
      </c>
      <c r="T72" s="393">
        <f>M72+O72+P72+Q72+R72+S72</f>
        <v/>
      </c>
    </row>
    <row r="73">
      <c r="A73" s="388" t="n"/>
      <c r="B73" s="388" t="n"/>
      <c r="C73" s="389" t="n"/>
      <c r="D73" s="389" t="n"/>
      <c r="E73" s="390" t="n"/>
      <c r="F73" s="391" t="n"/>
      <c r="G73" s="306" t="n">
        <v>1</v>
      </c>
      <c r="H73" s="306" t="n">
        <v>1</v>
      </c>
      <c r="I73" s="306" t="n">
        <v>0</v>
      </c>
      <c r="J73" s="306" t="inlineStr">
        <is>
          <t>J</t>
        </is>
      </c>
      <c r="K73" s="392">
        <f>IF(ISNUMBER(E73),IF(ISNUMBER(F73),F73,Instellingen!$B$6)+Instellingen!$B$5,"")</f>
        <v/>
      </c>
      <c r="L73" s="392">
        <f>IFERROR(INDEX(Impregnatie!$B$4:$O$25,MATCH(C73,Impregnatie!$A$4:$A$25,0),MATCH(D73,Impregnatie!$B$3:$O$3,0))*(1+Instellingen!$B$4),"")</f>
        <v/>
      </c>
      <c r="M73" s="392">
        <f>IF(AND(ISNUMBER(E73),ISNUMBER(L73)),E73*L73,0)</f>
        <v/>
      </c>
      <c r="N73" s="392">
        <f>IFERROR(INDEX('Droge kous'!$B$4:$T$33,MATCH(C73,'Droge kous'!$A$4:$A$33,0),MATCH(D73,'Droge kous'!$B$3:$T$3,0)),"")</f>
        <v/>
      </c>
      <c r="O73" s="392">
        <f>IF(AND(ISNUMBER(K73),ISNUMBER(N73)),K73*N73,0)</f>
        <v/>
      </c>
      <c r="P73" s="392">
        <f>IF(ISNUMBER(C73),IFERROR(N(G73)*VLOOKUP(C73,Sundry!$A$4:$G$20,4,TRUE),0),0)</f>
        <v/>
      </c>
      <c r="Q73" s="392">
        <f>IF(ISNUMBER(C73),IFERROR(N(H73)*VLOOKUP(C73,Sundry!$A$4:$G$20,5,TRUE),0),0)</f>
        <v/>
      </c>
      <c r="R73" s="392">
        <f>IF(ISNUMBER(C73),IFERROR(N(I73)*VLOOKUP(C73,Sundry!$A$4:$G$20,3,TRUE),0),0)</f>
        <v/>
      </c>
      <c r="S73" s="392">
        <f>IF(AND(ISNUMBER(C73),ISNUMBER(E73),UPPER(J73)="N",E73&lt;VLOOKUP(C73,Sundry!$A$4:$G$20,7,TRUE)),VLOOKUP(C73,Sundry!$A$4:$G$20,6,TRUE),0)</f>
        <v/>
      </c>
      <c r="T73" s="393">
        <f>M73+O73+P73+Q73+R73+S73</f>
        <v/>
      </c>
    </row>
    <row r="74">
      <c r="A74" s="388" t="n"/>
      <c r="B74" s="388" t="n"/>
      <c r="C74" s="389" t="n"/>
      <c r="D74" s="389" t="n"/>
      <c r="E74" s="390" t="n"/>
      <c r="F74" s="391" t="n"/>
      <c r="G74" s="306" t="n">
        <v>1</v>
      </c>
      <c r="H74" s="306" t="n">
        <v>1</v>
      </c>
      <c r="I74" s="306" t="n">
        <v>0</v>
      </c>
      <c r="J74" s="306" t="inlineStr">
        <is>
          <t>J</t>
        </is>
      </c>
      <c r="K74" s="392">
        <f>IF(ISNUMBER(E74),IF(ISNUMBER(F74),F74,Instellingen!$B$6)+Instellingen!$B$5,"")</f>
        <v/>
      </c>
      <c r="L74" s="392">
        <f>IFERROR(INDEX(Impregnatie!$B$4:$O$25,MATCH(C74,Impregnatie!$A$4:$A$25,0),MATCH(D74,Impregnatie!$B$3:$O$3,0))*(1+Instellingen!$B$4),"")</f>
        <v/>
      </c>
      <c r="M74" s="392">
        <f>IF(AND(ISNUMBER(E74),ISNUMBER(L74)),E74*L74,0)</f>
        <v/>
      </c>
      <c r="N74" s="392">
        <f>IFERROR(INDEX('Droge kous'!$B$4:$T$33,MATCH(C74,'Droge kous'!$A$4:$A$33,0),MATCH(D74,'Droge kous'!$B$3:$T$3,0)),"")</f>
        <v/>
      </c>
      <c r="O74" s="392">
        <f>IF(AND(ISNUMBER(K74),ISNUMBER(N74)),K74*N74,0)</f>
        <v/>
      </c>
      <c r="P74" s="392">
        <f>IF(ISNUMBER(C74),IFERROR(N(G74)*VLOOKUP(C74,Sundry!$A$4:$G$20,4,TRUE),0),0)</f>
        <v/>
      </c>
      <c r="Q74" s="392">
        <f>IF(ISNUMBER(C74),IFERROR(N(H74)*VLOOKUP(C74,Sundry!$A$4:$G$20,5,TRUE),0),0)</f>
        <v/>
      </c>
      <c r="R74" s="392">
        <f>IF(ISNUMBER(C74),IFERROR(N(I74)*VLOOKUP(C74,Sundry!$A$4:$G$20,3,TRUE),0),0)</f>
        <v/>
      </c>
      <c r="S74" s="392">
        <f>IF(AND(ISNUMBER(C74),ISNUMBER(E74),UPPER(J74)="N",E74&lt;VLOOKUP(C74,Sundry!$A$4:$G$20,7,TRUE)),VLOOKUP(C74,Sundry!$A$4:$G$20,6,TRUE),0)</f>
        <v/>
      </c>
      <c r="T74" s="393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94">
        <f>SUM(M5:M74)</f>
        <v/>
      </c>
      <c r="N75" s="242" t="n"/>
      <c r="O75" s="394">
        <f>SUM(O5:O74)</f>
        <v/>
      </c>
      <c r="P75" s="394">
        <f>SUM(P5:P74)</f>
        <v/>
      </c>
      <c r="Q75" s="394">
        <f>SUM(Q5:Q74)</f>
        <v/>
      </c>
      <c r="R75" s="394">
        <f>SUM(R5:R74)</f>
        <v/>
      </c>
      <c r="S75" s="394">
        <f>SUM(S5:S74)</f>
        <v/>
      </c>
      <c r="T75" s="39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2026-06-24T19:43:16Z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
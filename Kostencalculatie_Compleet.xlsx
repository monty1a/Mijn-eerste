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Overzicht" sheetId="1" state="visible" r:id="rId1"/>
    <sheet name="Periodetrend" sheetId="2" state="visible" r:id="rId2"/>
    <sheet name="Kousen" sheetId="3" state="visible" r:id="rId3"/>
    <sheet name="Calculatie" sheetId="4" state="visible" r:id="rId4"/>
    <sheet name="Periode-sjabloon" sheetId="5" state="visible" r:id="rId5"/>
    <sheet name="Prijzen" sheetId="6" state="visible" r:id="rId6"/>
    <sheet name="Tarieven 2026" sheetId="7" state="visible" r:id="rId7"/>
    <sheet name="Instellingen" sheetId="8" state="visible" r:id="rId8"/>
    <sheet name="Impregnatie" sheetId="9" state="visible" r:id="rId9"/>
    <sheet name="Droge kous" sheetId="10" state="visible" r:id="rId10"/>
    <sheet name="Sundry" sheetId="11" state="visible" r:id="rId11"/>
    <sheet name="Insituform-calc" sheetId="12" state="visible" r:id="rId12"/>
  </sheets>
  <externalReferences>
    <externalReference r:id="rId13"/>
    <externalReference r:id="rId14"/>
    <externalReference r:id="rId15"/>
  </externalReferences>
  <definedNames>
    <definedName name="\c">#N/A</definedName>
    <definedName name="\g">#N/A</definedName>
    <definedName name="\o">#N/A</definedName>
    <definedName name="\p">#N/A</definedName>
    <definedName name="Aansluiting">[1]Blad3!$B$8:$B$12</definedName>
    <definedName name="Afdrukbereik_MI">#REF!</definedName>
    <definedName name="Afdrukgebied">#REF!</definedName>
    <definedName name="arm">[1]Blad3!$B$15:$B$17</definedName>
    <definedName name="Cutters">[2]Codes!$U$3:$U$15</definedName>
    <definedName name="Dagen">#REF!</definedName>
    <definedName name="deellijnnummer">'[2] Overzicht deellijn'!$D$7:$D$104</definedName>
    <definedName name="diam">[2]Codes!$B$2:$B$44</definedName>
    <definedName name="diameters">'[2]Gewicht kous'!$A$4:$A$26</definedName>
    <definedName name="diktes">'[2]Gewicht kous'!$B$3:$AD$3</definedName>
    <definedName name="eindv">#REF!</definedName>
    <definedName name="even">[1]Blad1!#REF!</definedName>
    <definedName name="harstotaal">[2]Menggegevens!$A$3:$C$11</definedName>
    <definedName name="IDcode">[2]Voorbereiding!$D$9:$D$209</definedName>
    <definedName name="Impreg">#REF!</definedName>
    <definedName name="Inbrengen">[2]Codes!$Y$2:$Y$12</definedName>
    <definedName name="indicatie">#REF!</definedName>
    <definedName name="INSITUFORM">#N/A</definedName>
    <definedName name="inversiediepte">[2]Codes!$Y$2:$AB$12</definedName>
    <definedName name="inversiehoogte">[2]Codes!$AL$3:$AM$2017</definedName>
    <definedName name="KOLOM">'[2] Overzicht'!$C$315</definedName>
    <definedName name="kousdikte">[2]Codes!$AI$2:$AI$28</definedName>
    <definedName name="kousdiktes">[2]Codes!$AI$2:$AJ$28</definedName>
    <definedName name="kousdiktes\">[2]Codes!$CF$3:$CG$177</definedName>
    <definedName name="lengteberekening">[2]Codes!$AO$3:$AP$607</definedName>
    <definedName name="mat">#REF!</definedName>
    <definedName name="menghars">[2]Menggegevens!$A$3:$A$10</definedName>
    <definedName name="Nachtwerk">#REF!</definedName>
    <definedName name="Namen">[1]Lijsten!$B$12:$B$29</definedName>
    <definedName name="operator">[3]Lijsten!$C$4:$C$13</definedName>
    <definedName name="operator_ass">[3]Lijsten!$D$4:$D$13</definedName>
    <definedName name="Ploeg">#REF!</definedName>
    <definedName name="ploegen">[2]Codes!$BP$3:$BP$15</definedName>
    <definedName name="PUT">#REF!</definedName>
    <definedName name="putnr">#REF!</definedName>
    <definedName name="putnummer">#REF!</definedName>
    <definedName name="re">#REF!</definedName>
    <definedName name="RIJ">'[2] Overzicht'!$C$314</definedName>
    <definedName name="Saertex_S">Prijzen!$B$14:$S$70</definedName>
    <definedName name="slijptol">[1]Blad3!$B$13:$B$14</definedName>
    <definedName name="Soort_inlaat">[3]Lijsten!$H$4:$H$13</definedName>
    <definedName name="TVK">[3]Lijsten!$G$4:$G$13</definedName>
    <definedName name="uitv">#REF!</definedName>
    <definedName name="uitvoerders">[2]Codes!$Q$2:$Q$12</definedName>
    <definedName name="VALILIST">#REF!</definedName>
    <definedName name="Wagennummers">[1]Lijsten!$B$3:$B$10</definedName>
    <definedName name="Wakers">#REF!</definedName>
    <definedName name="Werkzaamheden">#REF!</definedName>
    <definedName name="_xlnm.Print_Area" localSheetId="5">'Prijzen'!$B$72:$P$94</definedName>
  </definedNames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_ &quot;€&quot;\ * #,##0.00_ ;_ &quot;€&quot;\ * \-#,##0.00_ ;_ &quot;€&quot;\ * &quot;-&quot;??_ ;_ @_ "/>
    <numFmt numFmtId="166" formatCode="General_)"/>
    <numFmt numFmtId="167" formatCode="&quot;€&quot;\ #,##0.00"/>
    <numFmt numFmtId="168" formatCode="0.0"/>
    <numFmt numFmtId="169" formatCode="[$-F800]dddd\,\ mmmm\ dd\,\ yyyy"/>
    <numFmt numFmtId="170" formatCode="#,##0.00\ &quot;€&quot;"/>
    <numFmt numFmtId="171" formatCode="0.0%"/>
    <numFmt numFmtId="172" formatCode="yyyy-mm-dd h:mm:ss"/>
    <numFmt numFmtId="173" formatCode="dd-mm-yyyy"/>
  </numFmts>
  <fonts count="38"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Tahoma"/>
      <family val="2"/>
      <color theme="1"/>
      <sz val="10"/>
      <u val="single"/>
    </font>
    <font>
      <name val="Tahoma"/>
      <family val="2"/>
      <i val="1"/>
      <color theme="1"/>
      <sz val="10"/>
    </font>
    <font>
      <name val="Tahoma"/>
      <family val="2"/>
      <color theme="1"/>
      <sz val="10"/>
    </font>
    <font>
      <name val="Tahoma"/>
      <family val="2"/>
      <i val="1"/>
      <color theme="1"/>
      <sz val="10"/>
      <u val="single"/>
    </font>
    <font>
      <name val="Tahoma"/>
      <family val="2"/>
      <sz val="10"/>
    </font>
    <font>
      <name val="Calibri"/>
      <family val="2"/>
      <sz val="11"/>
      <scheme val="minor"/>
    </font>
    <font>
      <name val="Tahoma"/>
      <family val="2"/>
      <b val="1"/>
      <sz val="10"/>
    </font>
    <font>
      <name val="Tahoma"/>
      <family val="2"/>
      <sz val="10"/>
      <u val="single"/>
    </font>
    <font>
      <name val="Tahoma"/>
      <family val="2"/>
      <sz val="10"/>
      <u val="singleAccounting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  <u val="singleAccounting"/>
    </font>
    <font>
      <name val="Tahoma"/>
      <family val="2"/>
      <b val="1"/>
      <color theme="0"/>
      <sz val="10"/>
    </font>
    <font>
      <name val="Helv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Tahoma"/>
      <family val="2"/>
      <color theme="1"/>
      <sz val="28"/>
    </font>
    <font>
      <name val="Tahoma"/>
      <family val="2"/>
      <b val="1"/>
      <color theme="1"/>
      <sz val="9"/>
    </font>
    <font>
      <b val="1"/>
      <color rgb="00FFFFFF"/>
      <sz val="10"/>
    </font>
    <font>
      <b val="1"/>
    </font>
    <font>
      <b val="1"/>
      <color rgb="001F4E78"/>
      <sz val="12"/>
    </font>
    <font>
      <b val="1"/>
      <color rgb="00FFFFFF"/>
      <sz val="12"/>
    </font>
    <font>
      <b val="1"/>
      <color rgb="00C00000"/>
    </font>
    <font>
      <b val="1"/>
      <color rgb="001F4E78"/>
      <sz val="14"/>
    </font>
    <font>
      <color rgb="00595959"/>
      <sz val="9"/>
    </font>
    <font>
      <i val="1"/>
      <color rgb="00595959"/>
      <sz val="9"/>
    </font>
    <font>
      <b val="1"/>
      <color rgb="00FFFFFF"/>
    </font>
    <font>
      <b val="1"/>
      <color rgb="001F4E78"/>
      <sz val="18"/>
    </font>
    <font>
      <i val="1"/>
      <color rgb="00595959"/>
      <sz val="10"/>
    </font>
    <font>
      <b val="1"/>
      <sz val="12"/>
    </font>
    <font>
      <i val="1"/>
      <color rgb="00C00000"/>
      <sz val="9"/>
    </font>
    <font/>
    <font>
      <color rgb="00A6A6A6"/>
    </font>
    <font>
      <b val="1"/>
      <color rgb="001F4E78"/>
    </font>
    <font>
      <i val="1"/>
      <color rgb="002E75B6"/>
      <sz val="8"/>
    </font>
    <font>
      <i val="1"/>
      <color rgb="002E75B6"/>
      <sz val="9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55A1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EAADB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5">
    <xf numFmtId="0" fontId="4" fillId="0" borderId="0"/>
    <xf numFmtId="44" fontId="4" fillId="0" borderId="0"/>
    <xf numFmtId="43" fontId="4" fillId="0" borderId="0"/>
    <xf numFmtId="166" fontId="14" fillId="0" borderId="0"/>
    <xf numFmtId="0" fontId="16" fillId="0" borderId="0"/>
  </cellStyleXfs>
  <cellXfs count="40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4" fontId="0" fillId="0" borderId="0" pivotButton="0" quotePrefix="0" xfId="2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4" fillId="0" borderId="0" applyAlignment="1" pivotButton="0" quotePrefix="0" xfId="1">
      <alignment horizontal="center"/>
    </xf>
    <xf numFmtId="0" fontId="0" fillId="2" borderId="0" applyAlignment="1" pivotButton="0" quotePrefix="0" xfId="0">
      <alignment horizontal="left"/>
    </xf>
    <xf numFmtId="164" fontId="0" fillId="2" borderId="0" applyAlignment="1" pivotButton="0" quotePrefix="0" xfId="2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2">
      <alignment horizontal="left"/>
    </xf>
    <xf numFmtId="165" fontId="0" fillId="0" borderId="0" applyAlignment="1" pivotButton="0" quotePrefix="0" xfId="1">
      <alignment horizontal="left"/>
    </xf>
    <xf numFmtId="165" fontId="0" fillId="0" borderId="0" applyAlignment="1" pivotButton="0" quotePrefix="0" xfId="0">
      <alignment horizontal="left"/>
    </xf>
    <xf numFmtId="165" fontId="4" fillId="0" borderId="0" applyAlignment="1" pivotButton="0" quotePrefix="0" xfId="1">
      <alignment horizontal="left"/>
    </xf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2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5" fontId="6" fillId="0" borderId="0" applyAlignment="1" pivotButton="0" quotePrefix="0" xfId="1">
      <alignment horizontal="left"/>
    </xf>
    <xf numFmtId="165" fontId="6" fillId="0" borderId="0" pivotButton="0" quotePrefix="0" xfId="1"/>
    <xf numFmtId="165" fontId="6" fillId="0" borderId="0" applyAlignment="1" pivotButton="0" quotePrefix="0" xfId="0">
      <alignment horizontal="left"/>
    </xf>
    <xf numFmtId="9" fontId="6" fillId="0" borderId="0" pivotButton="0" quotePrefix="0" xfId="0"/>
    <xf numFmtId="165" fontId="7" fillId="0" borderId="0" applyAlignment="1" pivotButton="0" quotePrefix="0" xfId="1">
      <alignment horizontal="left"/>
    </xf>
    <xf numFmtId="165" fontId="7" fillId="0" borderId="0" pivotButton="0" quotePrefix="0" xfId="1"/>
    <xf numFmtId="0" fontId="7" fillId="0" borderId="0" pivotButton="0" quotePrefix="0" xfId="0"/>
    <xf numFmtId="0" fontId="8" fillId="3" borderId="0" pivotButton="0" quotePrefix="0" xfId="0"/>
    <xf numFmtId="164" fontId="6" fillId="3" borderId="0" applyAlignment="1" pivotButton="0" quotePrefix="0" xfId="2">
      <alignment horizontal="left"/>
    </xf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165" fontId="8" fillId="3" borderId="0" applyAlignment="1" pivotButton="0" quotePrefix="0" xfId="0">
      <alignment horizontal="left"/>
    </xf>
    <xf numFmtId="0" fontId="6" fillId="3" borderId="0" pivotButton="0" quotePrefix="0" xfId="0"/>
    <xf numFmtId="0" fontId="9" fillId="0" borderId="0" pivotButton="0" quotePrefix="0" xfId="0"/>
    <xf numFmtId="164" fontId="10" fillId="0" borderId="0" applyAlignment="1" pivotButton="0" quotePrefix="0" xfId="2">
      <alignment horizontal="left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left"/>
    </xf>
    <xf numFmtId="0" fontId="1" fillId="3" borderId="0" pivotButton="0" quotePrefix="0" xfId="0"/>
    <xf numFmtId="164" fontId="0" fillId="3" borderId="0" applyAlignment="1" pivotButton="0" quotePrefix="0" xfId="2">
      <alignment horizontal="left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9" fontId="9" fillId="0" borderId="0" pivotButton="0" quotePrefix="0" xfId="0"/>
    <xf numFmtId="164" fontId="9" fillId="0" borderId="0" applyAlignment="1" pivotButton="0" quotePrefix="0" xfId="2">
      <alignment horizontal="lef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5" fontId="9" fillId="0" borderId="0" applyAlignment="1" pivotButton="0" quotePrefix="0" xfId="1">
      <alignment horizontal="left"/>
    </xf>
    <xf numFmtId="0" fontId="11" fillId="3" borderId="0" pivotButton="0" quotePrefix="0" xfId="0"/>
    <xf numFmtId="165" fontId="0" fillId="3" borderId="0" applyAlignment="1" pivotButton="0" quotePrefix="0" xfId="0">
      <alignment horizontal="left"/>
    </xf>
    <xf numFmtId="164" fontId="12" fillId="0" borderId="0" applyAlignment="1" pivotButton="0" quotePrefix="0" xfId="2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left"/>
    </xf>
    <xf numFmtId="0" fontId="0" fillId="4" borderId="0" pivotButton="0" quotePrefix="0" xfId="0"/>
    <xf numFmtId="164" fontId="0" fillId="4" borderId="0" applyAlignment="1" pivotButton="0" quotePrefix="0" xfId="2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left"/>
    </xf>
    <xf numFmtId="0" fontId="13" fillId="5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5" borderId="0" pivotButton="0" quotePrefix="0" xfId="0"/>
    <xf numFmtId="0" fontId="3" fillId="6" borderId="5" applyAlignment="1" pivotButton="0" quotePrefix="0" xfId="0">
      <alignment horizontal="right"/>
    </xf>
    <xf numFmtId="165" fontId="1" fillId="6" borderId="6" pivotButton="0" quotePrefix="0" xfId="0"/>
    <xf numFmtId="166" fontId="15" fillId="6" borderId="8" applyAlignment="1" pivotButton="0" quotePrefix="0" xfId="3">
      <alignment horizontal="center" wrapText="1"/>
    </xf>
    <xf numFmtId="0" fontId="0" fillId="7" borderId="0" pivotButton="0" quotePrefix="0" xfId="0"/>
    <xf numFmtId="0" fontId="1" fillId="7" borderId="2" pivotButton="0" quotePrefix="0" xfId="0"/>
    <xf numFmtId="0" fontId="1" fillId="7" borderId="3" pivotButton="0" quotePrefix="0" xfId="0"/>
    <xf numFmtId="0" fontId="1" fillId="0" borderId="11" applyAlignment="1" pivotButton="0" quotePrefix="0" xfId="0">
      <alignment horizontal="right"/>
    </xf>
    <xf numFmtId="2" fontId="0" fillId="0" borderId="12" pivotButton="0" quotePrefix="0" xfId="0"/>
    <xf numFmtId="2" fontId="0" fillId="0" borderId="13" pivotButton="0" quotePrefix="0" xfId="0"/>
    <xf numFmtId="2" fontId="0" fillId="0" borderId="14" pivotButton="0" quotePrefix="0" xfId="0"/>
    <xf numFmtId="166" fontId="16" fillId="0" borderId="0" applyAlignment="1" pivotButton="0" quotePrefix="0" xfId="3">
      <alignment horizontal="center"/>
    </xf>
    <xf numFmtId="166" fontId="17" fillId="6" borderId="15" applyAlignment="1" pivotButton="0" quotePrefix="0" xfId="3">
      <alignment horizontal="right"/>
    </xf>
    <xf numFmtId="165" fontId="15" fillId="6" borderId="16" applyAlignment="1" pivotButton="0" quotePrefix="0" xfId="3">
      <alignment horizontal="center"/>
    </xf>
    <xf numFmtId="166" fontId="15" fillId="6" borderId="18" applyAlignment="1" pivotButton="0" quotePrefix="0" xfId="3">
      <alignment horizontal="center" wrapText="1"/>
    </xf>
    <xf numFmtId="0" fontId="1" fillId="7" borderId="11" applyAlignment="1" pivotButton="0" quotePrefix="0" xfId="0">
      <alignment horizontal="right"/>
    </xf>
    <xf numFmtId="0" fontId="0" fillId="7" borderId="12" pivotButton="0" quotePrefix="0" xfId="0"/>
    <xf numFmtId="0" fontId="0" fillId="7" borderId="13" pivotButton="0" quotePrefix="0" xfId="0"/>
    <xf numFmtId="0" fontId="1" fillId="0" borderId="21" applyAlignment="1" pivotButton="0" quotePrefix="0" xfId="0">
      <alignment horizontal="right"/>
    </xf>
    <xf numFmtId="2" fontId="0" fillId="0" borderId="22" pivotButton="0" quotePrefix="0" xfId="0"/>
    <xf numFmtId="2" fontId="0" fillId="0" borderId="23" pivotButton="0" quotePrefix="0" xfId="0"/>
    <xf numFmtId="2" fontId="0" fillId="0" borderId="24" pivotButton="0" quotePrefix="0" xfId="0"/>
    <xf numFmtId="0" fontId="16" fillId="0" borderId="0" applyAlignment="1" pivotButton="0" quotePrefix="0" xfId="4">
      <alignment horizontal="center" shrinkToFit="1"/>
    </xf>
    <xf numFmtId="0" fontId="15" fillId="6" borderId="25" applyAlignment="1" pivotButton="0" quotePrefix="0" xfId="4">
      <alignment horizontal="center"/>
    </xf>
    <xf numFmtId="166" fontId="15" fillId="6" borderId="26" applyAlignment="1" pivotButton="0" quotePrefix="0" xfId="3">
      <alignment horizontal="center"/>
    </xf>
    <xf numFmtId="166" fontId="15" fillId="6" borderId="28" applyAlignment="1" pivotButton="0" quotePrefix="0" xfId="3">
      <alignment horizontal="center" wrapText="1"/>
    </xf>
    <xf numFmtId="0" fontId="1" fillId="7" borderId="21" applyAlignment="1" pivotButton="0" quotePrefix="0" xfId="0">
      <alignment horizontal="right"/>
    </xf>
    <xf numFmtId="0" fontId="0" fillId="7" borderId="22" pivotButton="0" quotePrefix="0" xfId="0"/>
    <xf numFmtId="0" fontId="0" fillId="7" borderId="23" pivotButton="0" quotePrefix="0" xfId="0"/>
    <xf numFmtId="0" fontId="16" fillId="6" borderId="31" applyAlignment="1" pivotButton="0" quotePrefix="0" xfId="4">
      <alignment horizontal="center" shrinkToFit="1"/>
    </xf>
    <xf numFmtId="165" fontId="16" fillId="0" borderId="14" applyAlignment="1" pivotButton="0" quotePrefix="0" xfId="4">
      <alignment horizontal="center"/>
    </xf>
    <xf numFmtId="166" fontId="16" fillId="0" borderId="32" applyAlignment="1" pivotButton="0" quotePrefix="0" xfId="3">
      <alignment horizontal="center"/>
    </xf>
    <xf numFmtId="165" fontId="16" fillId="0" borderId="32" applyAlignment="1" pivotButton="0" quotePrefix="0" xfId="3">
      <alignment horizontal="center"/>
    </xf>
    <xf numFmtId="167" fontId="16" fillId="0" borderId="33" pivotButton="0" quotePrefix="0" xfId="3"/>
    <xf numFmtId="166" fontId="16" fillId="0" borderId="34" pivotButton="0" quotePrefix="0" xfId="3"/>
    <xf numFmtId="165" fontId="16" fillId="0" borderId="35" pivotButton="0" quotePrefix="0" xfId="3"/>
    <xf numFmtId="0" fontId="16" fillId="6" borderId="36" applyAlignment="1" pivotButton="0" quotePrefix="0" xfId="4">
      <alignment horizontal="center" shrinkToFit="1"/>
    </xf>
    <xf numFmtId="165" fontId="16" fillId="0" borderId="24" applyAlignment="1" pivotButton="0" quotePrefix="0" xfId="4">
      <alignment horizontal="center"/>
    </xf>
    <xf numFmtId="166" fontId="16" fillId="0" borderId="37" applyAlignment="1" pivotButton="0" quotePrefix="0" xfId="3">
      <alignment horizontal="center"/>
    </xf>
    <xf numFmtId="165" fontId="16" fillId="0" borderId="37" applyAlignment="1" pivotButton="0" quotePrefix="0" xfId="3">
      <alignment horizontal="center"/>
    </xf>
    <xf numFmtId="167" fontId="16" fillId="0" borderId="38" pivotButton="0" quotePrefix="0" xfId="3"/>
    <xf numFmtId="166" fontId="16" fillId="0" borderId="39" pivotButton="0" quotePrefix="0" xfId="3"/>
    <xf numFmtId="165" fontId="16" fillId="0" borderId="40" pivotButton="0" quotePrefix="0" xfId="3"/>
    <xf numFmtId="0" fontId="1" fillId="0" borderId="41" applyAlignment="1" pivotButton="0" quotePrefix="0" xfId="0">
      <alignment horizontal="right"/>
    </xf>
    <xf numFmtId="2" fontId="0" fillId="0" borderId="42" pivotButton="0" quotePrefix="0" xfId="0"/>
    <xf numFmtId="2" fontId="0" fillId="0" borderId="43" pivotButton="0" quotePrefix="0" xfId="0"/>
    <xf numFmtId="2" fontId="0" fillId="0" borderId="44" pivotButton="0" quotePrefix="0" xfId="0"/>
    <xf numFmtId="0" fontId="0" fillId="7" borderId="0" applyAlignment="1" pivotButton="0" quotePrefix="0" xfId="0">
      <alignment horizontal="right"/>
    </xf>
    <xf numFmtId="10" fontId="0" fillId="7" borderId="0" pivotButton="0" quotePrefix="0" xfId="0"/>
    <xf numFmtId="0" fontId="1" fillId="7" borderId="41" applyAlignment="1" pivotButton="0" quotePrefix="0" xfId="0">
      <alignment horizontal="right"/>
    </xf>
    <xf numFmtId="0" fontId="0" fillId="7" borderId="42" pivotButton="0" quotePrefix="0" xfId="0"/>
    <xf numFmtId="0" fontId="0" fillId="7" borderId="43" pivotButton="0" quotePrefix="0" xfId="0"/>
    <xf numFmtId="15" fontId="0" fillId="0" borderId="0" pivotButton="0" quotePrefix="0" xfId="0"/>
    <xf numFmtId="15" fontId="0" fillId="7" borderId="0" pivotButton="0" quotePrefix="0" xfId="0"/>
    <xf numFmtId="0" fontId="1" fillId="0" borderId="45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7" borderId="45" pivotButton="0" quotePrefix="0" xfId="0"/>
    <xf numFmtId="2" fontId="0" fillId="0" borderId="32" pivotButton="0" quotePrefix="0" xfId="0"/>
    <xf numFmtId="2" fontId="0" fillId="0" borderId="0" pivotButton="0" quotePrefix="0" xfId="0"/>
    <xf numFmtId="0" fontId="16" fillId="6" borderId="46" applyAlignment="1" pivotButton="0" quotePrefix="0" xfId="4">
      <alignment horizontal="center" shrinkToFit="1"/>
    </xf>
    <xf numFmtId="165" fontId="16" fillId="0" borderId="44" applyAlignment="1" pivotButton="0" quotePrefix="0" xfId="4">
      <alignment horizontal="center"/>
    </xf>
    <xf numFmtId="166" fontId="16" fillId="0" borderId="47" applyAlignment="1" pivotButton="0" quotePrefix="0" xfId="3">
      <alignment horizontal="center"/>
    </xf>
    <xf numFmtId="165" fontId="16" fillId="0" borderId="47" applyAlignment="1" pivotButton="0" quotePrefix="0" xfId="3">
      <alignment horizontal="center"/>
    </xf>
    <xf numFmtId="167" fontId="16" fillId="0" borderId="48" pivotButton="0" quotePrefix="0" xfId="3"/>
    <xf numFmtId="166" fontId="16" fillId="0" borderId="49" pivotButton="0" quotePrefix="0" xfId="3"/>
    <xf numFmtId="165" fontId="16" fillId="0" borderId="50" pivotButton="0" quotePrefix="0" xfId="3"/>
    <xf numFmtId="2" fontId="0" fillId="7" borderId="12" pivotButton="0" quotePrefix="0" xfId="0"/>
    <xf numFmtId="2" fontId="0" fillId="7" borderId="32" pivotButton="0" quotePrefix="0" xfId="0"/>
    <xf numFmtId="2" fontId="0" fillId="7" borderId="13" pivotButton="0" quotePrefix="0" xfId="0"/>
    <xf numFmtId="2" fontId="0" fillId="0" borderId="37" pivotButton="0" quotePrefix="0" xfId="0"/>
    <xf numFmtId="0" fontId="16" fillId="6" borderId="51" applyAlignment="1" pivotButton="0" quotePrefix="0" xfId="4">
      <alignment horizontal="center" shrinkToFit="1"/>
    </xf>
    <xf numFmtId="2" fontId="0" fillId="7" borderId="22" pivotButton="0" quotePrefix="0" xfId="0"/>
    <xf numFmtId="2" fontId="0" fillId="7" borderId="37" pivotButton="0" quotePrefix="0" xfId="0"/>
    <xf numFmtId="2" fontId="0" fillId="7" borderId="23" pivotButton="0" quotePrefix="0" xfId="0"/>
    <xf numFmtId="0" fontId="16" fillId="6" borderId="52" applyAlignment="1" pivotButton="0" quotePrefix="0" xfId="4">
      <alignment horizontal="center" shrinkToFit="1"/>
    </xf>
    <xf numFmtId="0" fontId="16" fillId="6" borderId="53" applyAlignment="1" pivotButton="0" quotePrefix="0" xfId="4">
      <alignment horizontal="center" shrinkToFit="1"/>
    </xf>
    <xf numFmtId="165" fontId="16" fillId="0" borderId="54" applyAlignment="1" pivotButton="0" quotePrefix="0" xfId="4">
      <alignment horizontal="center"/>
    </xf>
    <xf numFmtId="166" fontId="16" fillId="0" borderId="55" applyAlignment="1" pivotButton="0" quotePrefix="0" xfId="3">
      <alignment horizontal="center"/>
    </xf>
    <xf numFmtId="165" fontId="16" fillId="0" borderId="55" applyAlignment="1" pivotButton="0" quotePrefix="0" xfId="3">
      <alignment horizontal="center"/>
    </xf>
    <xf numFmtId="167" fontId="16" fillId="0" borderId="56" pivotButton="0" quotePrefix="0" xfId="3"/>
    <xf numFmtId="166" fontId="16" fillId="0" borderId="57" pivotButton="0" quotePrefix="0" xfId="3"/>
    <xf numFmtId="165" fontId="16" fillId="0" borderId="58" pivotButton="0" quotePrefix="0" xfId="3"/>
    <xf numFmtId="0" fontId="16" fillId="6" borderId="59" applyAlignment="1" pivotButton="0" quotePrefix="0" xfId="4">
      <alignment horizontal="center" shrinkToFit="1"/>
    </xf>
    <xf numFmtId="165" fontId="16" fillId="0" borderId="60" applyAlignment="1" pivotButton="0" quotePrefix="0" xfId="4">
      <alignment horizontal="center"/>
    </xf>
    <xf numFmtId="166" fontId="16" fillId="0" borderId="61" applyAlignment="1" pivotButton="0" quotePrefix="0" xfId="3">
      <alignment horizontal="center"/>
    </xf>
    <xf numFmtId="165" fontId="16" fillId="0" borderId="61" applyAlignment="1" pivotButton="0" quotePrefix="0" xfId="3">
      <alignment horizontal="center"/>
    </xf>
    <xf numFmtId="167" fontId="16" fillId="0" borderId="62" pivotButton="0" quotePrefix="0" xfId="3"/>
    <xf numFmtId="166" fontId="16" fillId="0" borderId="63" pivotButton="0" quotePrefix="0" xfId="3"/>
    <xf numFmtId="165" fontId="16" fillId="0" borderId="64" pivotButton="0" quotePrefix="0" xfId="3"/>
    <xf numFmtId="165" fontId="16" fillId="0" borderId="0" applyAlignment="1" pivotButton="0" quotePrefix="0" xfId="4">
      <alignment horizontal="center"/>
    </xf>
    <xf numFmtId="165" fontId="16" fillId="0" borderId="65" applyAlignment="1" pivotButton="0" quotePrefix="0" xfId="4">
      <alignment horizontal="center"/>
    </xf>
    <xf numFmtId="165" fontId="19" fillId="0" borderId="0" pivotButton="0" quotePrefix="0" xfId="0"/>
    <xf numFmtId="165" fontId="0" fillId="0" borderId="0" pivotButton="0" quotePrefix="0" xfId="0"/>
    <xf numFmtId="165" fontId="0" fillId="0" borderId="65" pivotButton="0" quotePrefix="0" xfId="0"/>
    <xf numFmtId="165" fontId="1" fillId="0" borderId="0" pivotButton="0" quotePrefix="0" xfId="0"/>
    <xf numFmtId="0" fontId="1" fillId="0" borderId="66" applyAlignment="1" pivotButton="0" quotePrefix="0" xfId="0">
      <alignment horizontal="right"/>
    </xf>
    <xf numFmtId="2" fontId="0" fillId="0" borderId="67" pivotButton="0" quotePrefix="0" xfId="0"/>
    <xf numFmtId="2" fontId="0" fillId="0" borderId="55" pivotButton="0" quotePrefix="0" xfId="0"/>
    <xf numFmtId="2" fontId="0" fillId="0" borderId="68" pivotButton="0" quotePrefix="0" xfId="0"/>
    <xf numFmtId="2" fontId="0" fillId="0" borderId="54" pivotButton="0" quotePrefix="0" xfId="0"/>
    <xf numFmtId="0" fontId="1" fillId="7" borderId="66" applyAlignment="1" pivotButton="0" quotePrefix="0" xfId="0">
      <alignment horizontal="right"/>
    </xf>
    <xf numFmtId="2" fontId="0" fillId="7" borderId="67" pivotButton="0" quotePrefix="0" xfId="0"/>
    <xf numFmtId="2" fontId="0" fillId="7" borderId="55" pivotButton="0" quotePrefix="0" xfId="0"/>
    <xf numFmtId="2" fontId="0" fillId="7" borderId="68" pivotButton="0" quotePrefix="0" xfId="0"/>
    <xf numFmtId="2" fontId="0" fillId="0" borderId="47" pivotButton="0" quotePrefix="0" xfId="0"/>
    <xf numFmtId="2" fontId="0" fillId="7" borderId="42" pivotButton="0" quotePrefix="0" xfId="0"/>
    <xf numFmtId="2" fontId="0" fillId="7" borderId="47" pivotButton="0" quotePrefix="0" xfId="0"/>
    <xf numFmtId="2" fontId="0" fillId="7" borderId="43" pivotButton="0" quotePrefix="0" xfId="0"/>
    <xf numFmtId="0" fontId="0" fillId="8" borderId="0" pivotButton="0" quotePrefix="0" xfId="0"/>
    <xf numFmtId="0" fontId="1" fillId="0" borderId="69" pivotButton="0" quotePrefix="0" xfId="0"/>
    <xf numFmtId="0" fontId="0" fillId="8" borderId="0" applyAlignment="1" pivotButton="0" quotePrefix="0" xfId="0">
      <alignment horizontal="right"/>
    </xf>
    <xf numFmtId="10" fontId="0" fillId="8" borderId="0" pivotButton="0" quotePrefix="0" xfId="0"/>
    <xf numFmtId="0" fontId="1" fillId="0" borderId="11" pivotButton="0" quotePrefix="0" xfId="0"/>
    <xf numFmtId="2" fontId="0" fillId="0" borderId="33" pivotButton="0" quotePrefix="0" xfId="0"/>
    <xf numFmtId="15" fontId="0" fillId="8" borderId="0" pivotButton="0" quotePrefix="0" xfId="0"/>
    <xf numFmtId="0" fontId="1" fillId="0" borderId="21" pivotButton="0" quotePrefix="0" xfId="0"/>
    <xf numFmtId="2" fontId="0" fillId="0" borderId="38" pivotButton="0" quotePrefix="0" xfId="0"/>
    <xf numFmtId="0" fontId="1" fillId="8" borderId="1" pivotButton="0" quotePrefix="0" xfId="0"/>
    <xf numFmtId="0" fontId="1" fillId="8" borderId="2" pivotButton="0" quotePrefix="0" xfId="0"/>
    <xf numFmtId="0" fontId="1" fillId="8" borderId="45" pivotButton="0" quotePrefix="0" xfId="0"/>
    <xf numFmtId="0" fontId="1" fillId="8" borderId="69" pivotButton="0" quotePrefix="0" xfId="0"/>
    <xf numFmtId="0" fontId="1" fillId="8" borderId="11" pivotButton="0" quotePrefix="0" xfId="0"/>
    <xf numFmtId="0" fontId="0" fillId="8" borderId="12" pivotButton="0" quotePrefix="0" xfId="0"/>
    <xf numFmtId="0" fontId="0" fillId="8" borderId="32" pivotButton="0" quotePrefix="0" xfId="0"/>
    <xf numFmtId="0" fontId="0" fillId="8" borderId="33" pivotButton="0" quotePrefix="0" xfId="0"/>
    <xf numFmtId="0" fontId="1" fillId="8" borderId="21" pivotButton="0" quotePrefix="0" xfId="0"/>
    <xf numFmtId="0" fontId="0" fillId="8" borderId="22" pivotButton="0" quotePrefix="0" xfId="0"/>
    <xf numFmtId="0" fontId="0" fillId="8" borderId="37" pivotButton="0" quotePrefix="0" xfId="0"/>
    <xf numFmtId="0" fontId="0" fillId="8" borderId="38" pivotButton="0" quotePrefix="0" xfId="0"/>
    <xf numFmtId="2" fontId="0" fillId="9" borderId="37" pivotButton="0" quotePrefix="0" xfId="0"/>
    <xf numFmtId="168" fontId="0" fillId="8" borderId="38" pivotButton="0" quotePrefix="0" xfId="0"/>
    <xf numFmtId="0" fontId="1" fillId="0" borderId="70" pivotButton="0" quotePrefix="0" xfId="0"/>
    <xf numFmtId="2" fontId="0" fillId="0" borderId="71" pivotButton="0" quotePrefix="0" xfId="0"/>
    <xf numFmtId="2" fontId="0" fillId="0" borderId="72" pivotButton="0" quotePrefix="0" xfId="0"/>
    <xf numFmtId="2" fontId="0" fillId="0" borderId="73" pivotButton="0" quotePrefix="0" xfId="0"/>
    <xf numFmtId="0" fontId="1" fillId="8" borderId="70" pivotButton="0" quotePrefix="0" xfId="0"/>
    <xf numFmtId="0" fontId="0" fillId="8" borderId="71" pivotButton="0" quotePrefix="0" xfId="0"/>
    <xf numFmtId="0" fontId="0" fillId="8" borderId="72" pivotButton="0" quotePrefix="0" xfId="0"/>
    <xf numFmtId="0" fontId="0" fillId="8" borderId="73" pivotButton="0" quotePrefix="0" xfId="0"/>
    <xf numFmtId="169" fontId="0" fillId="0" borderId="0" applyAlignment="1" pivotButton="0" quotePrefix="0" xfId="0">
      <alignment horizontal="left"/>
    </xf>
    <xf numFmtId="0" fontId="0" fillId="7" borderId="74" pivotButton="0" quotePrefix="0" xfId="0"/>
    <xf numFmtId="0" fontId="0" fillId="7" borderId="74" applyAlignment="1" pivotButton="0" quotePrefix="0" xfId="0">
      <alignment horizontal="left"/>
    </xf>
    <xf numFmtId="165" fontId="0" fillId="2" borderId="0" applyAlignment="1" pivotButton="0" quotePrefix="0" xfId="1">
      <alignment horizontal="center"/>
    </xf>
    <xf numFmtId="0" fontId="0" fillId="0" borderId="75" pivotButton="0" quotePrefix="0" xfId="0"/>
    <xf numFmtId="0" fontId="1" fillId="0" borderId="52" pivotButton="0" quotePrefix="0" xfId="0"/>
    <xf numFmtId="0" fontId="1" fillId="0" borderId="36" pivotButton="0" quotePrefix="0" xfId="0"/>
    <xf numFmtId="0" fontId="1" fillId="0" borderId="76" pivotButton="0" quotePrefix="0" xfId="0"/>
    <xf numFmtId="0" fontId="0" fillId="0" borderId="37" pivotButton="0" quotePrefix="0" xfId="0"/>
    <xf numFmtId="0" fontId="0" fillId="0" borderId="37" applyAlignment="1" pivotButton="0" quotePrefix="0" xfId="0">
      <alignment horizontal="left"/>
    </xf>
    <xf numFmtId="0" fontId="0" fillId="0" borderId="24" pivotButton="0" quotePrefix="0" xfId="0"/>
    <xf numFmtId="0" fontId="0" fillId="0" borderId="38" pivotButton="0" quotePrefix="0" xfId="0"/>
    <xf numFmtId="2" fontId="0" fillId="0" borderId="77" pivotButton="0" quotePrefix="0" xfId="0"/>
    <xf numFmtId="0" fontId="0" fillId="0" borderId="72" pivotButton="0" quotePrefix="0" xfId="0"/>
    <xf numFmtId="0" fontId="0" fillId="0" borderId="72" applyAlignment="1" pivotButton="0" quotePrefix="0" xfId="0">
      <alignment horizontal="left"/>
    </xf>
    <xf numFmtId="0" fontId="0" fillId="0" borderId="73" pivotButton="0" quotePrefix="0" xfId="0"/>
    <xf numFmtId="0" fontId="0" fillId="0" borderId="14" pivotButton="0" quotePrefix="0" xfId="0"/>
    <xf numFmtId="0" fontId="0" fillId="0" borderId="32" pivotButton="0" quotePrefix="0" xfId="0"/>
    <xf numFmtId="0" fontId="0" fillId="0" borderId="32" applyAlignment="1" pivotButton="0" quotePrefix="0" xfId="0">
      <alignment horizontal="left"/>
    </xf>
    <xf numFmtId="0" fontId="0" fillId="0" borderId="33" pivotButton="0" quotePrefix="0" xfId="0"/>
    <xf numFmtId="0" fontId="0" fillId="0" borderId="69" pivotButton="0" quotePrefix="0" xfId="0"/>
    <xf numFmtId="0" fontId="18" fillId="7" borderId="0" applyAlignment="1" pivotButton="0" quotePrefix="0" xfId="0">
      <alignment horizontal="center"/>
    </xf>
    <xf numFmtId="166" fontId="15" fillId="6" borderId="6" applyAlignment="1" pivotButton="0" quotePrefix="0" xfId="3">
      <alignment horizontal="center" wrapText="1"/>
    </xf>
    <xf numFmtId="166" fontId="15" fillId="6" borderId="16" applyAlignment="1" pivotButton="0" quotePrefix="0" xfId="3">
      <alignment horizontal="center" wrapText="1"/>
    </xf>
    <xf numFmtId="166" fontId="15" fillId="6" borderId="26" applyAlignment="1" pivotButton="0" quotePrefix="0" xfId="3">
      <alignment horizontal="center" wrapText="1"/>
    </xf>
    <xf numFmtId="166" fontId="15" fillId="6" borderId="7" applyAlignment="1" pivotButton="0" quotePrefix="0" xfId="3">
      <alignment horizontal="center" wrapText="1"/>
    </xf>
    <xf numFmtId="166" fontId="15" fillId="6" borderId="17" applyAlignment="1" pivotButton="0" quotePrefix="0" xfId="3">
      <alignment horizontal="center" wrapText="1"/>
    </xf>
    <xf numFmtId="166" fontId="15" fillId="6" borderId="27" applyAlignment="1" pivotButton="0" quotePrefix="0" xfId="3">
      <alignment horizontal="center" wrapText="1"/>
    </xf>
    <xf numFmtId="166" fontId="15" fillId="6" borderId="9" applyAlignment="1" pivotButton="0" quotePrefix="0" xfId="3">
      <alignment horizontal="center" wrapText="1"/>
    </xf>
    <xf numFmtId="166" fontId="15" fillId="6" borderId="19" applyAlignment="1" pivotButton="0" quotePrefix="0" xfId="3">
      <alignment horizontal="center" wrapText="1"/>
    </xf>
    <xf numFmtId="166" fontId="15" fillId="6" borderId="29" applyAlignment="1" pivotButton="0" quotePrefix="0" xfId="3">
      <alignment horizontal="center" wrapText="1"/>
    </xf>
    <xf numFmtId="166" fontId="15" fillId="6" borderId="10" applyAlignment="1" pivotButton="0" quotePrefix="0" xfId="3">
      <alignment horizontal="center" wrapText="1"/>
    </xf>
    <xf numFmtId="166" fontId="15" fillId="6" borderId="20" applyAlignment="1" pivotButton="0" quotePrefix="0" xfId="3">
      <alignment horizontal="center" wrapText="1"/>
    </xf>
    <xf numFmtId="166" fontId="15" fillId="6" borderId="30" applyAlignment="1" pivotButton="0" quotePrefix="0" xfId="3">
      <alignment horizontal="center" wrapText="1"/>
    </xf>
    <xf numFmtId="0" fontId="29" fillId="0" borderId="0" pivotButton="0" quotePrefix="0" xfId="0"/>
    <xf numFmtId="0" fontId="30" fillId="0" borderId="0" pivotButton="0" quotePrefix="0" xfId="0"/>
    <xf numFmtId="0" fontId="21" fillId="0" borderId="0" pivotButton="0" quotePrefix="0" xfId="0"/>
    <xf numFmtId="0" fontId="28" fillId="10" borderId="82" pivotButton="0" quotePrefix="0" xfId="0"/>
    <xf numFmtId="0" fontId="0" fillId="10" borderId="82" pivotButton="0" quotePrefix="0" xfId="0"/>
    <xf numFmtId="0" fontId="0" fillId="0" borderId="82" pivotButton="0" quotePrefix="0" xfId="0"/>
    <xf numFmtId="170" fontId="0" fillId="0" borderId="82" applyAlignment="1" pivotButton="0" quotePrefix="0" xfId="0">
      <alignment horizontal="right"/>
    </xf>
    <xf numFmtId="0" fontId="31" fillId="11" borderId="82" pivotButton="0" quotePrefix="0" xfId="0"/>
    <xf numFmtId="0" fontId="0" fillId="11" borderId="82" pivotButton="0" quotePrefix="0" xfId="0"/>
    <xf numFmtId="170" fontId="22" fillId="11" borderId="82" applyAlignment="1" pivotButton="0" quotePrefix="0" xfId="0">
      <alignment horizontal="right"/>
    </xf>
    <xf numFmtId="0" fontId="28" fillId="17" borderId="82" pivotButton="0" quotePrefix="0" xfId="0"/>
    <xf numFmtId="0" fontId="0" fillId="17" borderId="82" pivotButton="0" quotePrefix="0" xfId="0"/>
    <xf numFmtId="171" fontId="0" fillId="0" borderId="82" applyAlignment="1" pivotButton="0" quotePrefix="0" xfId="0">
      <alignment horizontal="right"/>
    </xf>
    <xf numFmtId="164" fontId="0" fillId="0" borderId="0" applyAlignment="1" pivotButton="0" quotePrefix="0" xfId="2">
      <alignment horizontal="left"/>
    </xf>
    <xf numFmtId="0" fontId="23" fillId="10" borderId="82" applyAlignment="1" pivotButton="0" quotePrefix="0" xfId="0">
      <alignment horizontal="left" vertical="center"/>
    </xf>
    <xf numFmtId="164" fontId="20" fillId="10" borderId="82" applyAlignment="1" pivotButton="0" quotePrefix="0" xfId="2">
      <alignment horizontal="left"/>
    </xf>
    <xf numFmtId="0" fontId="20" fillId="10" borderId="82" applyAlignment="1" pivotButton="0" quotePrefix="0" xfId="0">
      <alignment horizontal="left"/>
    </xf>
    <xf numFmtId="0" fontId="20" fillId="10" borderId="82" applyAlignment="1" pivotButton="0" quotePrefix="0" xfId="0">
      <alignment horizontal="center"/>
    </xf>
    <xf numFmtId="0" fontId="20" fillId="10" borderId="82" pivotButton="0" quotePrefix="0" xfId="0"/>
    <xf numFmtId="0" fontId="0" fillId="12" borderId="82" applyAlignment="1" pivotButton="0" quotePrefix="0" xfId="0">
      <alignment horizontal="left"/>
    </xf>
    <xf numFmtId="0" fontId="0" fillId="0" borderId="82" applyAlignment="1" pivotButton="0" quotePrefix="0" xfId="0">
      <alignment horizontal="center"/>
    </xf>
    <xf numFmtId="165" fontId="0" fillId="0" borderId="82" applyAlignment="1" pivotButton="0" quotePrefix="0" xfId="1">
      <alignment horizontal="left"/>
    </xf>
    <xf numFmtId="165" fontId="0" fillId="0" borderId="82" applyAlignment="1" pivotButton="0" quotePrefix="0" xfId="1">
      <alignment horizontal="center"/>
    </xf>
    <xf numFmtId="0" fontId="21" fillId="0" borderId="82" pivotButton="0" quotePrefix="0" xfId="0"/>
    <xf numFmtId="165" fontId="0" fillId="12" borderId="82" applyAlignment="1" pivotButton="0" quotePrefix="0" xfId="1">
      <alignment horizontal="center"/>
    </xf>
    <xf numFmtId="0" fontId="2" fillId="0" borderId="82" pivotButton="0" quotePrefix="0" xfId="0"/>
    <xf numFmtId="0" fontId="20" fillId="10" borderId="82" applyAlignment="1" pivotButton="0" quotePrefix="0" xfId="0">
      <alignment horizontal="left" vertical="center"/>
    </xf>
    <xf numFmtId="165" fontId="20" fillId="10" borderId="82" applyAlignment="1" pivotButton="0" quotePrefix="0" xfId="1">
      <alignment horizontal="left"/>
    </xf>
    <xf numFmtId="165" fontId="20" fillId="10" borderId="82" applyAlignment="1" pivotButton="0" quotePrefix="0" xfId="1">
      <alignment horizontal="center"/>
    </xf>
    <xf numFmtId="165" fontId="20" fillId="10" borderId="82" applyAlignment="1" pivotButton="0" quotePrefix="0" xfId="0">
      <alignment horizontal="left"/>
    </xf>
    <xf numFmtId="164" fontId="0" fillId="12" borderId="82" applyAlignment="1" pivotButton="0" quotePrefix="0" xfId="2">
      <alignment horizontal="left"/>
    </xf>
    <xf numFmtId="170" fontId="0" fillId="0" borderId="82" applyAlignment="1" pivotButton="0" quotePrefix="0" xfId="1">
      <alignment horizontal="center"/>
    </xf>
    <xf numFmtId="170" fontId="0" fillId="12" borderId="82" applyAlignment="1" pivotButton="0" quotePrefix="0" xfId="1">
      <alignment horizontal="center"/>
    </xf>
    <xf numFmtId="164" fontId="0" fillId="0" borderId="82" pivotButton="0" quotePrefix="0" xfId="2"/>
    <xf numFmtId="0" fontId="21" fillId="11" borderId="82" pivotButton="0" quotePrefix="0" xfId="0"/>
    <xf numFmtId="165" fontId="21" fillId="11" borderId="82" applyAlignment="1" pivotButton="0" quotePrefix="0" xfId="1">
      <alignment horizontal="left"/>
    </xf>
    <xf numFmtId="165" fontId="21" fillId="11" borderId="82" applyAlignment="1" pivotButton="0" quotePrefix="0" xfId="1">
      <alignment horizontal="center"/>
    </xf>
    <xf numFmtId="170" fontId="21" fillId="11" borderId="82" applyAlignment="1" pivotButton="0" quotePrefix="0" xfId="1">
      <alignment horizontal="center"/>
    </xf>
    <xf numFmtId="0" fontId="9" fillId="0" borderId="82" pivotButton="0" quotePrefix="0" xfId="0"/>
    <xf numFmtId="164" fontId="10" fillId="0" borderId="82" applyAlignment="1" pivotButton="0" quotePrefix="0" xfId="2">
      <alignment horizontal="left"/>
    </xf>
    <xf numFmtId="0" fontId="10" fillId="0" borderId="82" applyAlignment="1" pivotButton="0" quotePrefix="0" xfId="0">
      <alignment horizontal="left"/>
    </xf>
    <xf numFmtId="0" fontId="10" fillId="0" borderId="82" applyAlignment="1" pivotButton="0" quotePrefix="0" xfId="0">
      <alignment horizontal="center"/>
    </xf>
    <xf numFmtId="170" fontId="10" fillId="0" borderId="82" applyAlignment="1" pivotButton="0" quotePrefix="0" xfId="0">
      <alignment horizontal="left"/>
    </xf>
    <xf numFmtId="164" fontId="6" fillId="0" borderId="82" applyAlignment="1" pivotButton="0" quotePrefix="0" xfId="2">
      <alignment horizontal="left"/>
    </xf>
    <xf numFmtId="0" fontId="6" fillId="0" borderId="82" applyAlignment="1" pivotButton="0" quotePrefix="0" xfId="0">
      <alignment horizontal="left"/>
    </xf>
    <xf numFmtId="0" fontId="6" fillId="0" borderId="82" applyAlignment="1" pivotButton="0" quotePrefix="0" xfId="0">
      <alignment horizontal="center"/>
    </xf>
    <xf numFmtId="165" fontId="6" fillId="0" borderId="82" applyAlignment="1" pivotButton="0" quotePrefix="0" xfId="0">
      <alignment horizontal="left"/>
    </xf>
    <xf numFmtId="164" fontId="6" fillId="12" borderId="82" applyAlignment="1" pivotButton="0" quotePrefix="0" xfId="2">
      <alignment horizontal="left"/>
    </xf>
    <xf numFmtId="170" fontId="6" fillId="0" borderId="82" applyAlignment="1" pivotButton="0" quotePrefix="0" xfId="0">
      <alignment horizontal="left"/>
    </xf>
    <xf numFmtId="9" fontId="21" fillId="11" borderId="82" pivotButton="0" quotePrefix="0" xfId="0"/>
    <xf numFmtId="164" fontId="21" fillId="11" borderId="82" applyAlignment="1" pivotButton="0" quotePrefix="0" xfId="2">
      <alignment horizontal="left"/>
    </xf>
    <xf numFmtId="0" fontId="21" fillId="11" borderId="82" applyAlignment="1" pivotButton="0" quotePrefix="0" xfId="0">
      <alignment horizontal="left"/>
    </xf>
    <xf numFmtId="0" fontId="21" fillId="11" borderId="82" applyAlignment="1" pivotButton="0" quotePrefix="0" xfId="0">
      <alignment horizontal="center"/>
    </xf>
    <xf numFmtId="170" fontId="21" fillId="11" borderId="82" applyAlignment="1" pivotButton="0" quotePrefix="0" xfId="1">
      <alignment horizontal="left"/>
    </xf>
    <xf numFmtId="165" fontId="21" fillId="11" borderId="82" pivotButton="0" quotePrefix="0" xfId="1"/>
    <xf numFmtId="9" fontId="6" fillId="0" borderId="82" pivotButton="0" quotePrefix="0" xfId="0"/>
    <xf numFmtId="165" fontId="6" fillId="0" borderId="82" applyAlignment="1" pivotButton="0" quotePrefix="0" xfId="1">
      <alignment horizontal="left"/>
    </xf>
    <xf numFmtId="165" fontId="6" fillId="0" borderId="82" pivotButton="0" quotePrefix="0" xfId="1"/>
    <xf numFmtId="165" fontId="7" fillId="0" borderId="82" applyAlignment="1" pivotButton="0" quotePrefix="0" xfId="1">
      <alignment horizontal="left"/>
    </xf>
    <xf numFmtId="165" fontId="7" fillId="0" borderId="82" pivotButton="0" quotePrefix="0" xfId="1"/>
    <xf numFmtId="0" fontId="37" fillId="0" borderId="82" pivotButton="0" quotePrefix="0" xfId="0"/>
    <xf numFmtId="165" fontId="0" fillId="0" borderId="82" applyAlignment="1" pivotButton="0" quotePrefix="0" xfId="0">
      <alignment horizontal="left"/>
    </xf>
    <xf numFmtId="170" fontId="0" fillId="13" borderId="82" applyAlignment="1" pivotButton="0" quotePrefix="0" xfId="1">
      <alignment horizontal="center"/>
    </xf>
    <xf numFmtId="170" fontId="0" fillId="0" borderId="82" applyAlignment="1" pivotButton="0" quotePrefix="0" xfId="0">
      <alignment horizontal="left"/>
    </xf>
    <xf numFmtId="0" fontId="36" fillId="0" borderId="82" pivotButton="0" quotePrefix="0" xfId="0"/>
    <xf numFmtId="0" fontId="20" fillId="10" borderId="82" applyAlignment="1" pivotButton="0" quotePrefix="0" xfId="0">
      <alignment horizontal="center" wrapText="1"/>
    </xf>
    <xf numFmtId="164" fontId="0" fillId="0" borderId="82" applyAlignment="1" pivotButton="0" quotePrefix="0" xfId="2">
      <alignment horizontal="left"/>
    </xf>
    <xf numFmtId="0" fontId="0" fillId="12" borderId="82" applyAlignment="1" pivotButton="0" quotePrefix="0" xfId="0">
      <alignment horizontal="center"/>
    </xf>
    <xf numFmtId="2" fontId="0" fillId="12" borderId="82" applyAlignment="1" pivotButton="0" quotePrefix="0" xfId="0">
      <alignment horizontal="center"/>
    </xf>
    <xf numFmtId="169" fontId="0" fillId="0" borderId="0" applyAlignment="1" pivotButton="0" quotePrefix="0" xfId="0">
      <alignment horizontal="left"/>
    </xf>
    <xf numFmtId="170" fontId="21" fillId="11" borderId="82" applyAlignment="1" pivotButton="0" quotePrefix="0" xfId="0">
      <alignment horizontal="left"/>
    </xf>
    <xf numFmtId="0" fontId="22" fillId="11" borderId="82" pivotButton="0" quotePrefix="0" xfId="0"/>
    <xf numFmtId="164" fontId="22" fillId="11" borderId="82" applyAlignment="1" pivotButton="0" quotePrefix="0" xfId="2">
      <alignment horizontal="left"/>
    </xf>
    <xf numFmtId="0" fontId="22" fillId="11" borderId="82" applyAlignment="1" pivotButton="0" quotePrefix="0" xfId="0">
      <alignment horizontal="left"/>
    </xf>
    <xf numFmtId="0" fontId="22" fillId="11" borderId="82" applyAlignment="1" pivotButton="0" quotePrefix="0" xfId="0">
      <alignment horizontal="center"/>
    </xf>
    <xf numFmtId="170" fontId="22" fillId="11" borderId="82" applyAlignment="1" pivotButton="0" quotePrefix="0" xfId="0">
      <alignment horizontal="left"/>
    </xf>
    <xf numFmtId="0" fontId="20" fillId="10" borderId="82" applyAlignment="1" pivotButton="0" quotePrefix="0" xfId="0">
      <alignment horizontal="center" vertical="center" wrapText="1"/>
    </xf>
    <xf numFmtId="165" fontId="1" fillId="6" borderId="6" pivotButton="0" quotePrefix="0" xfId="0"/>
    <xf numFmtId="166" fontId="15" fillId="6" borderId="78" applyAlignment="1" pivotButton="0" quotePrefix="0" xfId="3">
      <alignment horizontal="center" wrapText="1"/>
    </xf>
    <xf numFmtId="166" fontId="15" fillId="6" borderId="79" applyAlignment="1" pivotButton="0" quotePrefix="0" xfId="3">
      <alignment horizontal="center" wrapText="1"/>
    </xf>
    <xf numFmtId="166" fontId="15" fillId="6" borderId="8" applyAlignment="1" pivotButton="0" quotePrefix="0" xfId="3">
      <alignment horizontal="center" wrapText="1"/>
    </xf>
    <xf numFmtId="166" fontId="15" fillId="6" borderId="80" applyAlignment="1" pivotButton="0" quotePrefix="0" xfId="3">
      <alignment horizontal="center" wrapText="1"/>
    </xf>
    <xf numFmtId="166" fontId="15" fillId="6" borderId="81" applyAlignment="1" pivotButton="0" quotePrefix="0" xfId="3">
      <alignment horizontal="center" wrapText="1"/>
    </xf>
    <xf numFmtId="0" fontId="21" fillId="13" borderId="82" applyAlignment="1" pivotButton="0" quotePrefix="0" xfId="0">
      <alignment horizontal="right"/>
    </xf>
    <xf numFmtId="170" fontId="0" fillId="0" borderId="82" pivotButton="0" quotePrefix="0" xfId="0"/>
    <xf numFmtId="166" fontId="16" fillId="0" borderId="0" applyAlignment="1" pivotButton="0" quotePrefix="0" xfId="3">
      <alignment horizontal="center"/>
    </xf>
    <xf numFmtId="166" fontId="17" fillId="6" borderId="15" applyAlignment="1" pivotButton="0" quotePrefix="0" xfId="3">
      <alignment horizontal="right"/>
    </xf>
    <xf numFmtId="165" fontId="15" fillId="6" borderId="16" applyAlignment="1" pivotButton="0" quotePrefix="0" xfId="3">
      <alignment horizontal="center"/>
    </xf>
    <xf numFmtId="0" fontId="0" fillId="0" borderId="16" pivotButton="0" quotePrefix="0" xfId="0"/>
    <xf numFmtId="0" fontId="0" fillId="0" borderId="17" pivotButton="0" quotePrefix="0" xfId="0"/>
    <xf numFmtId="166" fontId="15" fillId="6" borderId="18" applyAlignment="1" pivotButton="0" quotePrefix="0" xfId="3">
      <alignment horizontal="center" wrapText="1"/>
    </xf>
    <xf numFmtId="0" fontId="0" fillId="0" borderId="19" pivotButton="0" quotePrefix="0" xfId="0"/>
    <xf numFmtId="0" fontId="0" fillId="0" borderId="20" pivotButton="0" quotePrefix="0" xfId="0"/>
    <xf numFmtId="166" fontId="15" fillId="6" borderId="26" applyAlignment="1" pivotButton="0" quotePrefix="0" xfId="3">
      <alignment horizontal="center"/>
    </xf>
    <xf numFmtId="0" fontId="0" fillId="0" borderId="26" pivotButton="0" quotePrefix="0" xfId="0"/>
    <xf numFmtId="0" fontId="0" fillId="0" borderId="27" pivotButton="0" quotePrefix="0" xfId="0"/>
    <xf numFmtId="166" fontId="15" fillId="6" borderId="28" applyAlignment="1" pivotButton="0" quotePrefix="0" xfId="3">
      <alignment horizontal="center" wrapText="1"/>
    </xf>
    <xf numFmtId="0" fontId="0" fillId="0" borderId="29" pivotButton="0" quotePrefix="0" xfId="0"/>
    <xf numFmtId="0" fontId="0" fillId="0" borderId="30" pivotButton="0" quotePrefix="0" xfId="0"/>
    <xf numFmtId="0" fontId="16" fillId="6" borderId="82" applyAlignment="1" pivotButton="0" quotePrefix="0" xfId="4">
      <alignment horizontal="center" shrinkToFit="1"/>
    </xf>
    <xf numFmtId="170" fontId="16" fillId="0" borderId="82" applyAlignment="1" pivotButton="0" quotePrefix="0" xfId="4">
      <alignment horizontal="center"/>
    </xf>
    <xf numFmtId="166" fontId="16" fillId="0" borderId="32" applyAlignment="1" pivotButton="0" quotePrefix="0" xfId="3">
      <alignment horizontal="center"/>
    </xf>
    <xf numFmtId="170" fontId="16" fillId="0" borderId="82" applyAlignment="1" pivotButton="0" quotePrefix="0" xfId="3">
      <alignment horizontal="center"/>
    </xf>
    <xf numFmtId="165" fontId="16" fillId="0" borderId="32" applyAlignment="1" pivotButton="0" quotePrefix="0" xfId="3">
      <alignment horizontal="center"/>
    </xf>
    <xf numFmtId="170" fontId="16" fillId="0" borderId="82" pivotButton="0" quotePrefix="0" xfId="3"/>
    <xf numFmtId="166" fontId="16" fillId="0" borderId="37" applyAlignment="1" pivotButton="0" quotePrefix="0" xfId="3">
      <alignment horizontal="center"/>
    </xf>
    <xf numFmtId="165" fontId="16" fillId="0" borderId="37" applyAlignment="1" pivotButton="0" quotePrefix="0" xfId="3">
      <alignment horizontal="center"/>
    </xf>
    <xf numFmtId="165" fontId="16" fillId="0" borderId="24" applyAlignment="1" pivotButton="0" quotePrefix="0" xfId="4">
      <alignment horizontal="center"/>
    </xf>
    <xf numFmtId="167" fontId="16" fillId="0" borderId="38" pivotButton="0" quotePrefix="0" xfId="3"/>
    <xf numFmtId="166" fontId="16" fillId="0" borderId="39" pivotButton="0" quotePrefix="0" xfId="3"/>
    <xf numFmtId="165" fontId="16" fillId="0" borderId="40" pivotButton="0" quotePrefix="0" xfId="3"/>
    <xf numFmtId="0" fontId="24" fillId="7" borderId="0" applyAlignment="1" pivotButton="0" quotePrefix="0" xfId="0">
      <alignment horizontal="right"/>
    </xf>
    <xf numFmtId="10" fontId="21" fillId="12" borderId="0" pivotButton="0" quotePrefix="0" xfId="0"/>
    <xf numFmtId="0" fontId="1" fillId="0" borderId="82" applyAlignment="1" pivotButton="0" quotePrefix="0" xfId="0">
      <alignment horizontal="right"/>
    </xf>
    <xf numFmtId="166" fontId="16" fillId="0" borderId="47" applyAlignment="1" pivotButton="0" quotePrefix="0" xfId="3">
      <alignment horizontal="center"/>
    </xf>
    <xf numFmtId="165" fontId="16" fillId="0" borderId="47" applyAlignment="1" pivotButton="0" quotePrefix="0" xfId="3">
      <alignment horizontal="center"/>
    </xf>
    <xf numFmtId="166" fontId="16" fillId="0" borderId="55" applyAlignment="1" pivotButton="0" quotePrefix="0" xfId="3">
      <alignment horizontal="center"/>
    </xf>
    <xf numFmtId="165" fontId="16" fillId="0" borderId="55" applyAlignment="1" pivotButton="0" quotePrefix="0" xfId="3">
      <alignment horizontal="center"/>
    </xf>
    <xf numFmtId="166" fontId="16" fillId="0" borderId="61" applyAlignment="1" pivotButton="0" quotePrefix="0" xfId="3">
      <alignment horizontal="center"/>
    </xf>
    <xf numFmtId="165" fontId="16" fillId="0" borderId="61" applyAlignment="1" pivotButton="0" quotePrefix="0" xfId="3">
      <alignment horizontal="center"/>
    </xf>
    <xf numFmtId="0" fontId="5" fillId="0" borderId="82" pivotButton="0" quotePrefix="0" xfId="0"/>
    <xf numFmtId="165" fontId="16" fillId="0" borderId="0" applyAlignment="1" pivotButton="0" quotePrefix="0" xfId="4">
      <alignment horizontal="center"/>
    </xf>
    <xf numFmtId="165" fontId="16" fillId="0" borderId="65" applyAlignment="1" pivotButton="0" quotePrefix="0" xfId="4">
      <alignment horizontal="center"/>
    </xf>
    <xf numFmtId="165" fontId="19" fillId="0" borderId="0" pivotButton="0" quotePrefix="0" xfId="0"/>
    <xf numFmtId="165" fontId="0" fillId="0" borderId="0" pivotButton="0" quotePrefix="0" xfId="0"/>
    <xf numFmtId="165" fontId="0" fillId="0" borderId="65" pivotButton="0" quotePrefix="0" xfId="0"/>
    <xf numFmtId="165" fontId="1" fillId="0" borderId="0" pivotButton="0" quotePrefix="0" xfId="0"/>
    <xf numFmtId="0" fontId="24" fillId="8" borderId="0" applyAlignment="1" pivotButton="0" quotePrefix="0" xfId="0">
      <alignment horizontal="right"/>
    </xf>
    <xf numFmtId="0" fontId="21" fillId="13" borderId="82" pivotButton="0" quotePrefix="0" xfId="0"/>
    <xf numFmtId="0" fontId="1" fillId="0" borderId="82" pivotButton="0" quotePrefix="0" xfId="0"/>
    <xf numFmtId="170" fontId="0" fillId="9" borderId="82" pivotButton="0" quotePrefix="0" xfId="0"/>
    <xf numFmtId="168" fontId="0" fillId="8" borderId="38" pivotButton="0" quotePrefix="0" xfId="0"/>
    <xf numFmtId="0" fontId="25" fillId="0" borderId="0" pivotButton="0" quotePrefix="0" xfId="0"/>
    <xf numFmtId="0" fontId="32" fillId="0" borderId="0" pivotButton="0" quotePrefix="0" xfId="0"/>
    <xf numFmtId="0" fontId="24" fillId="0" borderId="0" pivotButton="0" quotePrefix="0" xfId="0"/>
    <xf numFmtId="0" fontId="21" fillId="12" borderId="82" applyAlignment="1" pivotButton="0" quotePrefix="0" xfId="0">
      <alignment horizontal="center"/>
    </xf>
    <xf numFmtId="0" fontId="33" fillId="0" borderId="82" pivotButton="0" quotePrefix="0" xfId="0"/>
    <xf numFmtId="170" fontId="0" fillId="12" borderId="82" applyAlignment="1" pivotButton="0" quotePrefix="0" xfId="0">
      <alignment horizontal="right"/>
    </xf>
    <xf numFmtId="0" fontId="34" fillId="0" borderId="82" applyAlignment="1" pivotButton="0" quotePrefix="0" xfId="0">
      <alignment horizontal="right"/>
    </xf>
    <xf numFmtId="0" fontId="28" fillId="18" borderId="82" pivotButton="0" quotePrefix="0" xfId="0"/>
    <xf numFmtId="0" fontId="35" fillId="0" borderId="0" pivotButton="0" quotePrefix="0" xfId="0"/>
    <xf numFmtId="0" fontId="26" fillId="0" borderId="0" applyAlignment="1" pivotButton="0" quotePrefix="0" xfId="0">
      <alignment wrapText="1"/>
    </xf>
    <xf numFmtId="171" fontId="0" fillId="12" borderId="82" applyAlignment="1" pivotButton="0" quotePrefix="0" xfId="0">
      <alignment horizontal="center"/>
    </xf>
    <xf numFmtId="0" fontId="26" fillId="0" borderId="82" applyAlignment="1" pivotButton="0" quotePrefix="0" xfId="0">
      <alignment wrapText="1"/>
    </xf>
    <xf numFmtId="1" fontId="0" fillId="12" borderId="82" applyAlignment="1" pivotButton="0" quotePrefix="0" xfId="0">
      <alignment horizontal="center"/>
    </xf>
    <xf numFmtId="0" fontId="21" fillId="13" borderId="82" applyAlignment="1" pivotButton="0" quotePrefix="0" xfId="0">
      <alignment horizontal="center"/>
    </xf>
    <xf numFmtId="170" fontId="0" fillId="12" borderId="82" pivotButton="0" quotePrefix="0" xfId="0"/>
    <xf numFmtId="0" fontId="27" fillId="0" borderId="0" pivotButton="0" quotePrefix="0" xfId="0"/>
    <xf numFmtId="0" fontId="20" fillId="14" borderId="82" applyAlignment="1" pivotButton="0" quotePrefix="0" xfId="0">
      <alignment horizontal="center" vertical="center" wrapText="1"/>
    </xf>
    <xf numFmtId="0" fontId="0" fillId="12" borderId="82" pivotButton="0" quotePrefix="0" xfId="0"/>
    <xf numFmtId="0" fontId="0" fillId="15" borderId="82" applyAlignment="1" pivotButton="0" quotePrefix="0" xfId="0">
      <alignment horizontal="center"/>
    </xf>
    <xf numFmtId="2" fontId="0" fillId="15" borderId="82" pivotButton="0" quotePrefix="0" xfId="0"/>
    <xf numFmtId="2" fontId="0" fillId="12" borderId="82" pivotButton="0" quotePrefix="0" xfId="0"/>
    <xf numFmtId="170" fontId="0" fillId="16" borderId="82" pivotButton="0" quotePrefix="0" xfId="0"/>
    <xf numFmtId="170" fontId="21" fillId="11" borderId="82" pivotButton="0" quotePrefix="0" xfId="0"/>
    <xf numFmtId="170" fontId="28" fillId="10" borderId="82" pivotButton="0" quotePrefix="0" xfId="0"/>
    <xf numFmtId="0" fontId="0" fillId="0" borderId="85" pivotButton="0" quotePrefix="0" xfId="0"/>
    <xf numFmtId="173" fontId="0" fillId="12" borderId="82" pivotButton="0" quotePrefix="0" xfId="0"/>
    <xf numFmtId="173" fontId="0" fillId="0" borderId="82" pivotButton="0" quotePrefix="0" xfId="0"/>
    <xf numFmtId="170" fontId="0" fillId="11" borderId="82" pivotButton="0" quotePrefix="0" xfId="0"/>
    <xf numFmtId="170" fontId="28" fillId="14" borderId="82" pivotButton="0" quotePrefix="0" xfId="0"/>
    <xf numFmtId="170" fontId="21" fillId="0" borderId="0" pivotButton="0" quotePrefix="0" xfId="0"/>
    <xf numFmtId="0" fontId="0" fillId="16" borderId="82" applyAlignment="1" pivotButton="0" quotePrefix="0" xfId="0">
      <alignment horizontal="center"/>
    </xf>
    <xf numFmtId="0" fontId="21" fillId="0" borderId="0" applyAlignment="1" pivotButton="0" quotePrefix="0" xfId="0">
      <alignment horizontal="right"/>
    </xf>
    <xf numFmtId="170" fontId="21" fillId="11" borderId="0" pivotButton="0" quotePrefix="0" xfId="0"/>
  </cellXfs>
  <cellStyles count="5">
    <cellStyle name="Standaard" xfId="0" builtinId="0"/>
    <cellStyle name="Valuta" xfId="1" builtinId="4"/>
    <cellStyle name="Komma" xfId="2" builtinId="3"/>
    <cellStyle name="Standaard 4" xfId="3"/>
    <cellStyle name="Standaard 2 2" xfId="4"/>
  </cellStyles>
  <dxfs count="7">
    <dxf>
      <fill>
        <patternFill>
          <bgColor theme="5" tint="0.399945066682943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[$-F800]dddd\,\ mmmm\ dd\,\ yyyy"/>
      <alignment horizontal="left" vertical="botto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Materiaal: gerealiseerd t/m periode vs. nog te verwachten</a:t>
            </a:r>
          </a:p>
        </rich>
      </tx>
    </title>
    <plotArea>
      <lineChart>
        <grouping val="standard"/>
        <ser>
          <idx val="0"/>
          <order val="0"/>
          <tx>
            <strRef>
              <f>'Periodetrend'!E4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'Periodetrend'!$A$5:$A$17</f>
            </numRef>
          </cat>
          <val>
            <numRef>
              <f>'Periodetrend'!$E$5:$E$17</f>
            </numRef>
          </val>
        </ser>
        <ser>
          <idx val="1"/>
          <order val="1"/>
          <tx>
            <strRef>
              <f>'Periodetrend'!F4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'Periodetrend'!$A$5:$A$17</f>
            </numRef>
          </cat>
          <val>
            <numRef>
              <f>'Periodetrend'!$F$5:$F$17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Y:\RvE\Werkvoorbereiding\standaardlijst%20Montanus\Werkoverzicht%20blanco%20(CONCEPTb)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gmbcloud.sharepoint.com/Projecten%202019/Projectmap%20blanco/2.%20Projectdocumenten%20uitvoering/7219.13%20GMB%20standaardlijst-mengformulier%20V2019.10.xlsm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Y:\RvE\Werkvoorbereiding\standaardlijst%20Montanus\Draaiboek%207207\Dropbox\Dropbox\Oldenhove\Inmeetlijst%20blanco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lad1"/>
      <sheetName val="Lijsten"/>
      <sheetName val="Blad1 (2)"/>
      <sheetName val="SL (1)"/>
      <sheetName val="Hulpformules"/>
      <sheetName val="Overzichtstekening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BB"/>
      <sheetName val="CC"/>
      <sheetName val="DD"/>
      <sheetName val="EE"/>
      <sheetName val="FF"/>
      <sheetName val="GG"/>
      <sheetName val="HH"/>
      <sheetName val="II"/>
      <sheetName val="JJ"/>
      <sheetName val="KK"/>
      <sheetName val="LL"/>
      <sheetName val="MM"/>
      <sheetName val="NN"/>
      <sheetName val="OO"/>
      <sheetName val="PP"/>
      <sheetName val="QQ"/>
      <sheetName val="RR"/>
      <sheetName val="SS"/>
      <sheetName val="TT"/>
      <sheetName val="UU"/>
      <sheetName val="VV"/>
      <sheetName val="WW"/>
      <sheetName val="XX"/>
      <sheetName val="YY"/>
      <sheetName val="ZZ"/>
      <sheetName val="A1"/>
      <sheetName val="B1"/>
      <sheetName val="C1"/>
      <sheetName val="D1"/>
      <sheetName val="E1"/>
      <sheetName val="F1"/>
      <sheetName val="G1"/>
      <sheetName val="H1"/>
      <sheetName val="Blad3"/>
      <sheetName val="Blad2"/>
      <sheetName val="Werkoverzicht blanco (CONCEPTb)"/>
      <sheetName val="Codes"/>
    </sheetNames>
    <sheetDataSet>
      <sheetData sheetId="0"/>
      <sheetData sheetId="1">
        <row r="3">
          <cell r="B3" t="str">
            <v>TVK 7214</v>
          </cell>
        </row>
        <row r="4">
          <cell r="B4" t="str">
            <v>TVK 7215</v>
          </cell>
        </row>
        <row r="5">
          <cell r="B5" t="str">
            <v>TVK 7216</v>
          </cell>
        </row>
        <row r="6">
          <cell r="B6" t="str">
            <v>TVK 7217</v>
          </cell>
        </row>
        <row r="7">
          <cell r="B7" t="str">
            <v>TVK 7220</v>
          </cell>
        </row>
        <row r="12">
          <cell r="B12" t="str">
            <v>Marcel Montanus</v>
          </cell>
        </row>
        <row r="13">
          <cell r="B13" t="str">
            <v>Bob Rutjes</v>
          </cell>
        </row>
        <row r="14">
          <cell r="B14" t="str">
            <v>Gino Toetenel</v>
          </cell>
        </row>
        <row r="15">
          <cell r="B15" t="str">
            <v>Luuk Groenendijk</v>
          </cell>
        </row>
        <row r="16">
          <cell r="B16" t="str">
            <v>Carlos Reguero</v>
          </cell>
        </row>
        <row r="17">
          <cell r="B17" t="str">
            <v>Stefan Putting</v>
          </cell>
        </row>
        <row r="18">
          <cell r="B18" t="str">
            <v>Ruud Ruypers</v>
          </cell>
        </row>
        <row r="19">
          <cell r="B19" t="str">
            <v>Ruud Simons</v>
          </cell>
        </row>
        <row r="20">
          <cell r="B20" t="str">
            <v>Jan van Galen</v>
          </cell>
        </row>
        <row r="21">
          <cell r="B21" t="str">
            <v>René Bakker</v>
          </cell>
        </row>
        <row r="22">
          <cell r="B22" t="str">
            <v>Randy Mercelita</v>
          </cell>
        </row>
      </sheetData>
      <sheetData sheetId="2" refreshError="1"/>
      <sheetData sheetId="3"/>
      <sheetData sheetId="4" refreshError="1"/>
      <sheetData sheetId="5">
        <row r="10">
          <cell r="F10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 t="str">
            <v>B geboord</v>
          </cell>
        </row>
        <row r="9">
          <cell r="B9" t="str">
            <v>B gehakt</v>
          </cell>
        </row>
        <row r="10">
          <cell r="B10" t="str">
            <v>PVC</v>
          </cell>
        </row>
        <row r="11">
          <cell r="B11" t="str">
            <v>Gres</v>
          </cell>
        </row>
        <row r="12">
          <cell r="B12" t="str">
            <v>BLIND</v>
          </cell>
        </row>
        <row r="13">
          <cell r="B13" t="str">
            <v>Korte achterkant</v>
          </cell>
        </row>
        <row r="14">
          <cell r="B14" t="str">
            <v>Lange achterkant</v>
          </cell>
        </row>
        <row r="15">
          <cell r="B15" t="str">
            <v xml:space="preserve">Kort </v>
          </cell>
        </row>
        <row r="16">
          <cell r="B16" t="str">
            <v>Middel</v>
          </cell>
        </row>
        <row r="17">
          <cell r="B17" t="str">
            <v xml:space="preserve">Lang </v>
          </cell>
        </row>
      </sheetData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VGM-invoer"/>
      <sheetName val="Blad2"/>
      <sheetName val="Opdrcheck"/>
      <sheetName val="Map"/>
      <sheetName val="Map_cutter"/>
      <sheetName val="Overzicht_planner2"/>
      <sheetName val="Werkbegr."/>
      <sheetName val="Kosten"/>
      <sheetName val="Vgm"/>
      <sheetName val=" Overzicht deellijn"/>
      <sheetName val="D (1)"/>
      <sheetName val="INS_OPL"/>
      <sheetName val="D"/>
      <sheetName val="Planning"/>
      <sheetName val="deellijn bestellijst"/>
      <sheetName val=" Overzicht"/>
      <sheetName val="Afdruk uitvoering"/>
      <sheetName val="Gewicht kous"/>
      <sheetName val="Menggegevens"/>
      <sheetName val="K (1)"/>
      <sheetName val="K"/>
      <sheetName val="TRA"/>
      <sheetName val="Ctrl F"/>
      <sheetName val="Termijn (1)"/>
      <sheetName val="Termijn (2)"/>
      <sheetName val="Termijn (3)"/>
      <sheetName val="Termijn (4)"/>
      <sheetName val="Termijn (5)"/>
      <sheetName val="Termijn (6)"/>
      <sheetName val="Eindafrekening"/>
      <sheetName val="Bart"/>
      <sheetName val="Meer-minderwerk"/>
      <sheetName val="Manchet"/>
      <sheetName val="Kraan"/>
      <sheetName val="Reiniging"/>
      <sheetName val="Afsluiters"/>
      <sheetName val="Tool"/>
      <sheetName val="Maandag"/>
      <sheetName val="Dinsdag"/>
      <sheetName val="Woensdag"/>
      <sheetName val="Donderdag"/>
      <sheetName val="Vrijdag"/>
      <sheetName val="Codes"/>
      <sheetName val="Werkopdracht"/>
      <sheetName val="Werkrapportage"/>
      <sheetName val="Hotels"/>
      <sheetName val="UITV_st"/>
      <sheetName val="UITV_wtr"/>
      <sheetName val="ARB_VEIL"/>
      <sheetName val="Werkvergunning"/>
      <sheetName val="Projectoverdracht"/>
      <sheetName val="Voorbereiding"/>
      <sheetName val="72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Lijsten"/>
      <sheetName val="Lijst"/>
      <sheetName val="Lijst (2)"/>
    </sheetNames>
    <sheetDataSet>
      <sheetData sheetId="0">
        <row r="4">
          <cell r="C4" t="str">
            <v>Marcel</v>
          </cell>
          <cell r="D4" t="str">
            <v>Bakker</v>
          </cell>
          <cell r="G4" t="str">
            <v>TVK 7212</v>
          </cell>
          <cell r="H4" t="str">
            <v>B geboord</v>
          </cell>
        </row>
        <row r="5">
          <cell r="C5" t="str">
            <v>Bakker</v>
          </cell>
          <cell r="D5" t="str">
            <v>Marcel</v>
          </cell>
          <cell r="G5" t="str">
            <v>TVK 7213</v>
          </cell>
          <cell r="H5" t="str">
            <v>B gehakt</v>
          </cell>
        </row>
        <row r="6">
          <cell r="C6" t="str">
            <v>Ruud R</v>
          </cell>
          <cell r="D6" t="str">
            <v>Ruud R</v>
          </cell>
          <cell r="G6" t="str">
            <v>TVK 7214</v>
          </cell>
          <cell r="H6" t="str">
            <v>PVC</v>
          </cell>
        </row>
        <row r="7">
          <cell r="C7" t="str">
            <v>Ruud S</v>
          </cell>
          <cell r="D7" t="str">
            <v>Ruud S</v>
          </cell>
          <cell r="G7" t="str">
            <v>TVK 7215</v>
          </cell>
          <cell r="H7" t="str">
            <v>Gres</v>
          </cell>
        </row>
        <row r="8">
          <cell r="C8" t="str">
            <v>Wesley</v>
          </cell>
          <cell r="D8" t="str">
            <v>Wesley</v>
          </cell>
          <cell r="G8" t="str">
            <v>TVK 7216</v>
          </cell>
          <cell r="H8" t="str">
            <v>Anders</v>
          </cell>
        </row>
        <row r="9">
          <cell r="C9" t="str">
            <v>Gino</v>
          </cell>
          <cell r="D9" t="str">
            <v>Gino</v>
          </cell>
          <cell r="G9" t="str">
            <v>TVK 7217</v>
          </cell>
        </row>
        <row r="10">
          <cell r="C10" t="str">
            <v>Carlos</v>
          </cell>
          <cell r="D10" t="str">
            <v>Carlos</v>
          </cell>
        </row>
        <row r="11">
          <cell r="C11" t="str">
            <v>John</v>
          </cell>
          <cell r="D11" t="str">
            <v>John</v>
          </cell>
        </row>
        <row r="12">
          <cell r="C12" t="str">
            <v>René Bazuin</v>
          </cell>
          <cell r="D12" t="str">
            <v>René Bazuin</v>
          </cell>
        </row>
        <row r="13">
          <cell r="C13" t="str">
            <v>Randy</v>
          </cell>
          <cell r="D13" t="str">
            <v>Randy</v>
          </cell>
        </row>
      </sheetData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1" name="Tabel1345" displayName="Tabel1345" ref="I96:AD198" headerRowCount="1" totalsRowShown="0" headerRowDxfId="6" headerRowBorderDxfId="5" tableBorderDxfId="4">
  <autoFilter ref="I96:AD198"/>
  <sortState ref="I97:AD198">
    <sortCondition ref="U96:U198"/>
  </sortState>
  <tableColumns count="22">
    <tableColumn id="1" name="kousnr"/>
    <tableColumn id="2" name="straat"/>
    <tableColumn id="3" name="type"/>
    <tableColumn id="4" name="van put"/>
    <tableColumn id="5" name="naar put "/>
    <tableColumn id="6" name="lengte"/>
    <tableColumn id="7" name="dikte"/>
    <tableColumn id="8" name="dia"/>
    <tableColumn id="9" name="aansl"/>
    <tableColumn id="10" name="Type UV"/>
    <tableColumn id="11" name="Kolom1"/>
    <tableColumn id="12" name="Kolom2"/>
    <tableColumn id="13" name="Inbreng Datum" dataDxfId="3"/>
    <tableColumn id="14" name="Kolom3"/>
    <tableColumn id="15" name="Kolom4"/>
    <tableColumn id="16" name="Kolom5"/>
    <tableColumn id="17" name="Kolom6"/>
    <tableColumn id="18" name="Kolom7"/>
    <tableColumn id="19" name="Kolom8"/>
    <tableColumn id="20" name="Kolom9"/>
    <tableColumn id="21" name="Kolom10"/>
    <tableColumn id="22" name="Kolom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4" customWidth="1" min="3" max="3"/>
    <col width="18" customWidth="1" min="4" max="4"/>
  </cols>
  <sheetData>
    <row r="2">
      <c r="B2" s="239" t="inlineStr">
        <is>
          <t>KOSTEN- &amp; RESULTAATOVERZICHT</t>
        </is>
      </c>
    </row>
    <row r="3">
      <c r="B3" s="240" t="inlineStr">
        <is>
          <t>Alle kosten in één oogopslag — gekoppeld aan de tabbladen Calculatie, Prijzen en Insituform-calc.</t>
        </is>
      </c>
    </row>
    <row r="5">
      <c r="B5" s="241" t="inlineStr">
        <is>
          <t>Project</t>
        </is>
      </c>
      <c r="D5">
        <f>Calculatie!B3</f>
        <v/>
      </c>
    </row>
    <row r="6">
      <c r="B6" s="241" t="inlineStr">
        <is>
          <t>Opdrachtgever</t>
        </is>
      </c>
      <c r="D6">
        <f>Calculatie!B4</f>
        <v/>
      </c>
    </row>
    <row r="7">
      <c r="B7" s="241" t="inlineStr">
        <is>
          <t>Projectnummer</t>
        </is>
      </c>
      <c r="D7">
        <f>Calculatie!B2</f>
        <v/>
      </c>
    </row>
    <row r="9">
      <c r="B9" s="242" t="inlineStr">
        <is>
          <t>OPBRENGSTEN</t>
        </is>
      </c>
      <c r="C9" s="243" t="n"/>
      <c r="D9" s="243" t="n"/>
    </row>
    <row r="10">
      <c r="B10" s="244" t="inlineStr">
        <is>
          <t>Gecorrigeerde aanneemsom</t>
        </is>
      </c>
      <c r="C10" s="244" t="n"/>
      <c r="D10" s="245">
        <f>Calculatie!F24</f>
        <v/>
      </c>
    </row>
    <row r="11">
      <c r="B11" s="244" t="inlineStr">
        <is>
          <t>Totaal gefactureerd</t>
        </is>
      </c>
      <c r="C11" s="244" t="n"/>
      <c r="D11" s="245">
        <f>Calculatie!F33</f>
        <v/>
      </c>
    </row>
    <row r="12">
      <c r="B12" s="244" t="inlineStr">
        <is>
          <t>Nog te factureren</t>
        </is>
      </c>
      <c r="C12" s="244" t="n"/>
      <c r="D12" s="245">
        <f>Calculatie!F35</f>
        <v/>
      </c>
    </row>
    <row r="14">
      <c r="B14" s="242" t="inlineStr">
        <is>
          <t>KOSTEN</t>
        </is>
      </c>
      <c r="C14" s="243" t="n"/>
      <c r="D14" s="243" t="n"/>
    </row>
    <row r="15">
      <c r="B15" s="244" t="inlineStr">
        <is>
          <t>Geboekte kosten t/m periode</t>
        </is>
      </c>
      <c r="C15" s="244" t="n"/>
      <c r="D15" s="245">
        <f>Calculatie!F40</f>
        <v/>
      </c>
    </row>
    <row r="16">
      <c r="B16" s="244" t="inlineStr">
        <is>
          <t>Nog te boeken kosten</t>
        </is>
      </c>
      <c r="C16" s="244" t="n"/>
      <c r="D16" s="245">
        <f>Calculatie!F51</f>
        <v/>
      </c>
    </row>
    <row r="17">
      <c r="B17" s="244" t="inlineStr">
        <is>
          <t>Prognose nog uit te voeren</t>
        </is>
      </c>
      <c r="C17" s="244" t="n"/>
      <c r="D17" s="245">
        <f>Calculatie!F224</f>
        <v/>
      </c>
    </row>
    <row r="18">
      <c r="B18" s="246" t="inlineStr">
        <is>
          <t>Totaal prognose kosten einde werk</t>
        </is>
      </c>
      <c r="C18" s="247" t="n"/>
      <c r="D18" s="248">
        <f>Calculatie!F227</f>
        <v/>
      </c>
    </row>
    <row r="20">
      <c r="B20" s="242" t="inlineStr">
        <is>
          <t>PROGNOSE RESULTAAT EINDE WERK</t>
        </is>
      </c>
      <c r="C20" s="243" t="n"/>
      <c r="D20" s="243" t="n"/>
    </row>
    <row r="21">
      <c r="B21" s="244" t="inlineStr">
        <is>
          <t>Opbrengsten</t>
        </is>
      </c>
      <c r="C21" s="244" t="n"/>
      <c r="D21" s="245">
        <f>Calculatie!F232</f>
        <v/>
      </c>
    </row>
    <row r="22">
      <c r="B22" s="244" t="inlineStr">
        <is>
          <t>Kosten</t>
        </is>
      </c>
      <c r="C22" s="244" t="n"/>
      <c r="D22" s="245">
        <f>Calculatie!F233</f>
        <v/>
      </c>
    </row>
    <row r="23">
      <c r="B23" s="246" t="inlineStr">
        <is>
          <t>RESULTAAT</t>
        </is>
      </c>
      <c r="C23" s="247" t="n"/>
      <c r="D23" s="248">
        <f>Calculatie!F235</f>
        <v/>
      </c>
    </row>
    <row r="25">
      <c r="B25" s="249" t="inlineStr">
        <is>
          <t>INSITUFORM DETAILCALCULATIE (aanvullend)</t>
        </is>
      </c>
      <c r="C25" s="250" t="n"/>
      <c r="D25" s="250" t="n"/>
    </row>
    <row r="26">
      <c r="B26" s="244" t="inlineStr">
        <is>
          <t>Totaal materiaal (impregnatie+droog+sundry)</t>
        </is>
      </c>
      <c r="C26" s="244" t="n"/>
      <c r="D26" s="245">
        <f>'Insituform-calc'!$T$75</f>
        <v/>
      </c>
    </row>
    <row r="28">
      <c r="B28" s="242" t="inlineStr">
        <is>
          <t>INDEXPERCENTAGES</t>
        </is>
      </c>
      <c r="C28" s="243" t="n"/>
      <c r="D28" s="243" t="n"/>
    </row>
    <row r="29">
      <c r="B29" s="244" t="inlineStr">
        <is>
          <t>M-/S+ liner (Prijzen!AL11)</t>
        </is>
      </c>
      <c r="C29" s="244" t="n"/>
      <c r="D29" s="251">
        <f>Prijzen!AL11</f>
        <v/>
      </c>
    </row>
    <row r="30">
      <c r="B30" s="244" t="inlineStr">
        <is>
          <t>Insituform (Prijzen!AL72)</t>
        </is>
      </c>
      <c r="C30" s="244" t="n"/>
      <c r="D30" s="251">
        <f>Prijzen!AL72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5" customWidth="1" min="4" max="4"/>
    <col width="17" customWidth="1" min="5" max="5"/>
    <col width="17" customWidth="1" min="6" max="6"/>
    <col width="18" customWidth="1" min="7" max="7"/>
    <col width="17" customWidth="1" min="8" max="8"/>
  </cols>
  <sheetData>
    <row r="1">
      <c r="A1" s="371" t="inlineStr">
        <is>
          <t>PERIODETREND — materiaalkosten verdeeld over periodes (4 weken) o.b.v. inbrengdatum</t>
        </is>
      </c>
    </row>
    <row r="2">
      <c r="A2" s="386" t="inlineStr">
        <is>
          <t>Periode 1 startdatum invullen (geel); de overige start/einddatums rekenen door per 28 dagen. Kousen vallen automatisch in de juiste periode.</t>
        </is>
      </c>
    </row>
    <row r="4" ht="44" customHeight="1">
      <c r="A4" s="315" t="inlineStr">
        <is>
          <t>Periode</t>
        </is>
      </c>
      <c r="B4" s="315" t="inlineStr">
        <is>
          <t>Startdatum</t>
        </is>
      </c>
      <c r="C4" s="315" t="inlineStr">
        <is>
          <t>Einddatum</t>
        </is>
      </c>
      <c r="D4" s="315" t="inlineStr">
        <is>
          <t>Materiaal in periode</t>
        </is>
      </c>
      <c r="E4" s="315" t="inlineStr">
        <is>
          <t>Materiaal gerealiseerd t/m periode</t>
        </is>
      </c>
      <c r="F4" s="315" t="inlineStr">
        <is>
          <t>Materiaal nog te verwachten</t>
        </is>
      </c>
      <c r="G4" s="315" t="inlineStr">
        <is>
          <t>Periodeblad (tabnaam)</t>
        </is>
      </c>
      <c r="H4" s="315" t="inlineStr">
        <is>
          <t>Prognoseresultaat einde werk</t>
        </is>
      </c>
    </row>
    <row r="5">
      <c r="A5" s="262" t="inlineStr">
        <is>
          <t>Periode 1</t>
        </is>
      </c>
      <c r="B5" s="396" t="n">
        <v>45292</v>
      </c>
      <c r="C5" s="397">
        <f>B5+27</f>
        <v/>
      </c>
      <c r="D5" s="392">
        <f>SUMIFS(Kousen!$I$5:$I$80,Kousen!$H$5:$H$80,"&gt;="&amp;$B5,Kousen!$H$5:$H$80,"&lt;="&amp;$C5)</f>
        <v/>
      </c>
      <c r="E5" s="398">
        <f>SUMIFS(Kousen!$I$5:$I$80,Kousen!$H$5:$H$80,"&lt;="&amp;$C5)</f>
        <v/>
      </c>
      <c r="F5" s="399">
        <f>SUM(Kousen!$I$5:$I$80)-$E5</f>
        <v/>
      </c>
      <c r="G5" s="388" t="n"/>
      <c r="H5" s="392">
        <f>IFERROR(INDIRECT("'"&amp;$G5&amp;"'!F235"),"")</f>
        <v/>
      </c>
    </row>
    <row r="6">
      <c r="A6" s="262" t="inlineStr">
        <is>
          <t>Periode 2</t>
        </is>
      </c>
      <c r="B6" s="397">
        <f>C5+1</f>
        <v/>
      </c>
      <c r="C6" s="397">
        <f>B6+27</f>
        <v/>
      </c>
      <c r="D6" s="392">
        <f>SUMIFS(Kousen!$I$5:$I$80,Kousen!$H$5:$H$80,"&gt;="&amp;$B6,Kousen!$H$5:$H$80,"&lt;="&amp;$C6)</f>
        <v/>
      </c>
      <c r="E6" s="398">
        <f>SUMIFS(Kousen!$I$5:$I$80,Kousen!$H$5:$H$80,"&lt;="&amp;$C6)</f>
        <v/>
      </c>
      <c r="F6" s="399">
        <f>SUM(Kousen!$I$5:$I$80)-$E6</f>
        <v/>
      </c>
      <c r="G6" s="388" t="n"/>
      <c r="H6" s="392">
        <f>IFERROR(INDIRECT("'"&amp;$G6&amp;"'!F235"),"")</f>
        <v/>
      </c>
    </row>
    <row r="7">
      <c r="A7" s="262" t="inlineStr">
        <is>
          <t>Periode 3</t>
        </is>
      </c>
      <c r="B7" s="397">
        <f>C6+1</f>
        <v/>
      </c>
      <c r="C7" s="397">
        <f>B7+27</f>
        <v/>
      </c>
      <c r="D7" s="392">
        <f>SUMIFS(Kousen!$I$5:$I$80,Kousen!$H$5:$H$80,"&gt;="&amp;$B7,Kousen!$H$5:$H$80,"&lt;="&amp;$C7)</f>
        <v/>
      </c>
      <c r="E7" s="398">
        <f>SUMIFS(Kousen!$I$5:$I$80,Kousen!$H$5:$H$80,"&lt;="&amp;$C7)</f>
        <v/>
      </c>
      <c r="F7" s="399">
        <f>SUM(Kousen!$I$5:$I$80)-$E7</f>
        <v/>
      </c>
      <c r="G7" s="388" t="n"/>
      <c r="H7" s="392">
        <f>IFERROR(INDIRECT("'"&amp;$G7&amp;"'!F235"),"")</f>
        <v/>
      </c>
    </row>
    <row r="8">
      <c r="A8" s="262" t="inlineStr">
        <is>
          <t>Periode 4</t>
        </is>
      </c>
      <c r="B8" s="397">
        <f>C7+1</f>
        <v/>
      </c>
      <c r="C8" s="397">
        <f>B8+27</f>
        <v/>
      </c>
      <c r="D8" s="392">
        <f>SUMIFS(Kousen!$I$5:$I$80,Kousen!$H$5:$H$80,"&gt;="&amp;$B8,Kousen!$H$5:$H$80,"&lt;="&amp;$C8)</f>
        <v/>
      </c>
      <c r="E8" s="398">
        <f>SUMIFS(Kousen!$I$5:$I$80,Kousen!$H$5:$H$80,"&lt;="&amp;$C8)</f>
        <v/>
      </c>
      <c r="F8" s="399">
        <f>SUM(Kousen!$I$5:$I$80)-$E8</f>
        <v/>
      </c>
      <c r="G8" s="388" t="n"/>
      <c r="H8" s="392">
        <f>IFERROR(INDIRECT("'"&amp;$G8&amp;"'!F235"),"")</f>
        <v/>
      </c>
    </row>
    <row r="9">
      <c r="A9" s="262" t="inlineStr">
        <is>
          <t>Periode 5</t>
        </is>
      </c>
      <c r="B9" s="397">
        <f>C8+1</f>
        <v/>
      </c>
      <c r="C9" s="397">
        <f>B9+27</f>
        <v/>
      </c>
      <c r="D9" s="392">
        <f>SUMIFS(Kousen!$I$5:$I$80,Kousen!$H$5:$H$80,"&gt;="&amp;$B9,Kousen!$H$5:$H$80,"&lt;="&amp;$C9)</f>
        <v/>
      </c>
      <c r="E9" s="398">
        <f>SUMIFS(Kousen!$I$5:$I$80,Kousen!$H$5:$H$80,"&lt;="&amp;$C9)</f>
        <v/>
      </c>
      <c r="F9" s="399">
        <f>SUM(Kousen!$I$5:$I$80)-$E9</f>
        <v/>
      </c>
      <c r="G9" s="388" t="n"/>
      <c r="H9" s="392">
        <f>IFERROR(INDIRECT("'"&amp;$G9&amp;"'!F235"),"")</f>
        <v/>
      </c>
    </row>
    <row r="10">
      <c r="A10" s="262" t="inlineStr">
        <is>
          <t>Periode 6</t>
        </is>
      </c>
      <c r="B10" s="397">
        <f>C9+1</f>
        <v/>
      </c>
      <c r="C10" s="397">
        <f>B10+27</f>
        <v/>
      </c>
      <c r="D10" s="392">
        <f>SUMIFS(Kousen!$I$5:$I$80,Kousen!$H$5:$H$80,"&gt;="&amp;$B10,Kousen!$H$5:$H$80,"&lt;="&amp;$C10)</f>
        <v/>
      </c>
      <c r="E10" s="398">
        <f>SUMIFS(Kousen!$I$5:$I$80,Kousen!$H$5:$H$80,"&lt;="&amp;$C10)</f>
        <v/>
      </c>
      <c r="F10" s="399">
        <f>SUM(Kousen!$I$5:$I$80)-$E10</f>
        <v/>
      </c>
      <c r="G10" s="388" t="n"/>
      <c r="H10" s="392">
        <f>IFERROR(INDIRECT("'"&amp;$G10&amp;"'!F235"),"")</f>
        <v/>
      </c>
    </row>
    <row r="11">
      <c r="A11" s="262" t="inlineStr">
        <is>
          <t>Periode 7</t>
        </is>
      </c>
      <c r="B11" s="397">
        <f>C10+1</f>
        <v/>
      </c>
      <c r="C11" s="397">
        <f>B11+27</f>
        <v/>
      </c>
      <c r="D11" s="392">
        <f>SUMIFS(Kousen!$I$5:$I$80,Kousen!$H$5:$H$80,"&gt;="&amp;$B11,Kousen!$H$5:$H$80,"&lt;="&amp;$C11)</f>
        <v/>
      </c>
      <c r="E11" s="398">
        <f>SUMIFS(Kousen!$I$5:$I$80,Kousen!$H$5:$H$80,"&lt;="&amp;$C11)</f>
        <v/>
      </c>
      <c r="F11" s="399">
        <f>SUM(Kousen!$I$5:$I$80)-$E11</f>
        <v/>
      </c>
      <c r="G11" s="388" t="n"/>
      <c r="H11" s="392">
        <f>IFERROR(INDIRECT("'"&amp;$G11&amp;"'!F235"),"")</f>
        <v/>
      </c>
    </row>
    <row r="12">
      <c r="A12" s="262" t="inlineStr">
        <is>
          <t>Periode 8</t>
        </is>
      </c>
      <c r="B12" s="397">
        <f>C11+1</f>
        <v/>
      </c>
      <c r="C12" s="397">
        <f>B12+27</f>
        <v/>
      </c>
      <c r="D12" s="392">
        <f>SUMIFS(Kousen!$I$5:$I$80,Kousen!$H$5:$H$80,"&gt;="&amp;$B12,Kousen!$H$5:$H$80,"&lt;="&amp;$C12)</f>
        <v/>
      </c>
      <c r="E12" s="398">
        <f>SUMIFS(Kousen!$I$5:$I$80,Kousen!$H$5:$H$80,"&lt;="&amp;$C12)</f>
        <v/>
      </c>
      <c r="F12" s="399">
        <f>SUM(Kousen!$I$5:$I$80)-$E12</f>
        <v/>
      </c>
      <c r="G12" s="388" t="n"/>
      <c r="H12" s="392">
        <f>IFERROR(INDIRECT("'"&amp;$G12&amp;"'!F235"),"")</f>
        <v/>
      </c>
    </row>
    <row r="13">
      <c r="A13" s="262" t="inlineStr">
        <is>
          <t>Periode 9</t>
        </is>
      </c>
      <c r="B13" s="397">
        <f>C12+1</f>
        <v/>
      </c>
      <c r="C13" s="397">
        <f>B13+27</f>
        <v/>
      </c>
      <c r="D13" s="392">
        <f>SUMIFS(Kousen!$I$5:$I$80,Kousen!$H$5:$H$80,"&gt;="&amp;$B13,Kousen!$H$5:$H$80,"&lt;="&amp;$C13)</f>
        <v/>
      </c>
      <c r="E13" s="398">
        <f>SUMIFS(Kousen!$I$5:$I$80,Kousen!$H$5:$H$80,"&lt;="&amp;$C13)</f>
        <v/>
      </c>
      <c r="F13" s="399">
        <f>SUM(Kousen!$I$5:$I$80)-$E13</f>
        <v/>
      </c>
      <c r="G13" s="388" t="n"/>
      <c r="H13" s="392">
        <f>IFERROR(INDIRECT("'"&amp;$G13&amp;"'!F235"),"")</f>
        <v/>
      </c>
    </row>
    <row r="14">
      <c r="A14" s="262" t="inlineStr">
        <is>
          <t>Periode 10</t>
        </is>
      </c>
      <c r="B14" s="397">
        <f>C13+1</f>
        <v/>
      </c>
      <c r="C14" s="397">
        <f>B14+27</f>
        <v/>
      </c>
      <c r="D14" s="392">
        <f>SUMIFS(Kousen!$I$5:$I$80,Kousen!$H$5:$H$80,"&gt;="&amp;$B14,Kousen!$H$5:$H$80,"&lt;="&amp;$C14)</f>
        <v/>
      </c>
      <c r="E14" s="398">
        <f>SUMIFS(Kousen!$I$5:$I$80,Kousen!$H$5:$H$80,"&lt;="&amp;$C14)</f>
        <v/>
      </c>
      <c r="F14" s="399">
        <f>SUM(Kousen!$I$5:$I$80)-$E14</f>
        <v/>
      </c>
      <c r="G14" s="388" t="n"/>
      <c r="H14" s="392">
        <f>IFERROR(INDIRECT("'"&amp;$G14&amp;"'!F235"),"")</f>
        <v/>
      </c>
    </row>
    <row r="15">
      <c r="A15" s="262" t="inlineStr">
        <is>
          <t>Periode 11</t>
        </is>
      </c>
      <c r="B15" s="397">
        <f>C14+1</f>
        <v/>
      </c>
      <c r="C15" s="397">
        <f>B15+27</f>
        <v/>
      </c>
      <c r="D15" s="392">
        <f>SUMIFS(Kousen!$I$5:$I$80,Kousen!$H$5:$H$80,"&gt;="&amp;$B15,Kousen!$H$5:$H$80,"&lt;="&amp;$C15)</f>
        <v/>
      </c>
      <c r="E15" s="398">
        <f>SUMIFS(Kousen!$I$5:$I$80,Kousen!$H$5:$H$80,"&lt;="&amp;$C15)</f>
        <v/>
      </c>
      <c r="F15" s="399">
        <f>SUM(Kousen!$I$5:$I$80)-$E15</f>
        <v/>
      </c>
      <c r="G15" s="388" t="n"/>
      <c r="H15" s="392">
        <f>IFERROR(INDIRECT("'"&amp;$G15&amp;"'!F235"),"")</f>
        <v/>
      </c>
    </row>
    <row r="16">
      <c r="A16" s="262" t="inlineStr">
        <is>
          <t>Periode 12</t>
        </is>
      </c>
      <c r="B16" s="397">
        <f>C15+1</f>
        <v/>
      </c>
      <c r="C16" s="397">
        <f>B16+27</f>
        <v/>
      </c>
      <c r="D16" s="392">
        <f>SUMIFS(Kousen!$I$5:$I$80,Kousen!$H$5:$H$80,"&gt;="&amp;$B16,Kousen!$H$5:$H$80,"&lt;="&amp;$C16)</f>
        <v/>
      </c>
      <c r="E16" s="398">
        <f>SUMIFS(Kousen!$I$5:$I$80,Kousen!$H$5:$H$80,"&lt;="&amp;$C16)</f>
        <v/>
      </c>
      <c r="F16" s="399">
        <f>SUM(Kousen!$I$5:$I$80)-$E16</f>
        <v/>
      </c>
      <c r="G16" s="388" t="n"/>
      <c r="H16" s="392">
        <f>IFERROR(INDIRECT("'"&amp;$G16&amp;"'!F235"),"")</f>
        <v/>
      </c>
    </row>
    <row r="17">
      <c r="A17" s="262" t="inlineStr">
        <is>
          <t>Periode 13</t>
        </is>
      </c>
      <c r="B17" s="397">
        <f>C16+1</f>
        <v/>
      </c>
      <c r="C17" s="397">
        <f>B17+27</f>
        <v/>
      </c>
      <c r="D17" s="392">
        <f>SUMIFS(Kousen!$I$5:$I$80,Kousen!$H$5:$H$80,"&gt;="&amp;$B17,Kousen!$H$5:$H$80,"&lt;="&amp;$C17)</f>
        <v/>
      </c>
      <c r="E17" s="398">
        <f>SUMIFS(Kousen!$I$5:$I$80,Kousen!$H$5:$H$80,"&lt;="&amp;$C17)</f>
        <v/>
      </c>
      <c r="F17" s="399">
        <f>SUM(Kousen!$I$5:$I$80)-$E17</f>
        <v/>
      </c>
      <c r="G17" s="388" t="n"/>
      <c r="H17" s="392">
        <f>IFERROR(INDIRECT("'"&amp;$G17&amp;"'!F235"),"")</f>
        <v/>
      </c>
    </row>
    <row r="19">
      <c r="A19" s="241" t="inlineStr">
        <is>
          <t>Totaal materiaal alle kousen:</t>
        </is>
      </c>
      <c r="D19" s="400">
        <f>SUM(Kousen!$I$5:$I$80)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12" customWidth="1" min="4" max="4"/>
    <col width="6" customWidth="1" min="5" max="5"/>
    <col width="7" customWidth="1" min="6" max="6"/>
    <col width="8" customWidth="1" min="7" max="7"/>
    <col width="12" customWidth="1" min="8" max="8"/>
    <col width="13" customWidth="1" min="9" max="9"/>
    <col width="15" customWidth="1" min="10" max="10"/>
  </cols>
  <sheetData>
    <row r="1">
      <c r="A1" s="371" t="inlineStr">
        <is>
          <t>KOUSEN — masterlijst met inbrengdatum (bepaalt de periode) en automatische kostprijs</t>
        </is>
      </c>
    </row>
    <row r="2">
      <c r="A2" s="386" t="inlineStr">
        <is>
          <t>Geel = invoer. Kostprijs en periode rekenen automatisch (kostprijs via Prijzen-blad: UV = liner×0,58, JK = Insituform/m).</t>
        </is>
      </c>
    </row>
    <row r="4" ht="30" customHeight="1">
      <c r="A4" s="315" t="inlineStr">
        <is>
          <t>Kousnr</t>
        </is>
      </c>
      <c r="B4" s="315" t="inlineStr">
        <is>
          <t>Locatie / straat</t>
        </is>
      </c>
      <c r="C4" s="315" t="inlineStr">
        <is>
          <t>Type</t>
        </is>
      </c>
      <c r="D4" s="315" t="inlineStr">
        <is>
          <t>Liner-soort</t>
        </is>
      </c>
      <c r="E4" s="315" t="inlineStr">
        <is>
          <t>DN</t>
        </is>
      </c>
      <c r="F4" s="315" t="inlineStr">
        <is>
          <t>Dikte
(mm)</t>
        </is>
      </c>
      <c r="G4" s="315" t="inlineStr">
        <is>
          <t>Lengte
(m)</t>
        </is>
      </c>
      <c r="H4" s="315" t="inlineStr">
        <is>
          <t>Inbreng-
datum</t>
        </is>
      </c>
      <c r="I4" s="315" t="inlineStr">
        <is>
          <t>Kostprijs
(€)</t>
        </is>
      </c>
      <c r="J4" s="315" t="inlineStr">
        <is>
          <t>Periode
(auto)</t>
        </is>
      </c>
    </row>
    <row r="5">
      <c r="A5" s="306" t="inlineStr">
        <is>
          <t>501</t>
        </is>
      </c>
      <c r="B5" s="388" t="inlineStr">
        <is>
          <t>schansbaan</t>
        </is>
      </c>
      <c r="C5" s="306" t="inlineStr">
        <is>
          <t>JK</t>
        </is>
      </c>
      <c r="D5" s="306" t="inlineStr"/>
      <c r="E5" s="306" t="n">
        <v>250</v>
      </c>
      <c r="F5" s="306" t="n">
        <v>6</v>
      </c>
      <c r="G5" s="391" t="n">
        <v>121.8</v>
      </c>
      <c r="H5" s="396" t="n">
        <v>45294</v>
      </c>
      <c r="I5" s="392">
        <f>IFERROR(IF($C5="UV",IF($D5="S+ liner",$G5*INDEX(Prijzen!$C$15:$P$70,MATCH($E5,Prijzen!$B$15:$B$70,0),MATCH($F5,Prijzen!$C$14:$O$14,0))*0.58,IF($D5="M liner",$G5*INDEX(Prijzen!$C$2:$P$11,MATCH($E5,Prijzen!$B$2:$B$11,0),MATCH($F5,Prijzen!$C$1:$P$1,0))*0.58,0)),$G5*INDEX(Prijzen!$C$73:$P$94,MATCH($E5,Prijzen!$B$73:$B$94,0),MATCH($F5,Prijzen!$C$72:$P$72,0))),0)</f>
        <v/>
      </c>
      <c r="J5" s="401">
        <f>IF($H5="","nog te plannen",IFERROR(LOOKUP($H5,Periodetrend!$B$5:$B$17,Periodetrend!$A$5:$A$17),"vóór P1"))</f>
        <v/>
      </c>
    </row>
    <row r="6">
      <c r="A6" s="306" t="inlineStr">
        <is>
          <t>502</t>
        </is>
      </c>
      <c r="B6" s="388" t="inlineStr">
        <is>
          <t>semsschans</t>
        </is>
      </c>
      <c r="C6" s="306" t="inlineStr">
        <is>
          <t>JK</t>
        </is>
      </c>
      <c r="D6" s="306" t="inlineStr"/>
      <c r="E6" s="306" t="n">
        <v>250</v>
      </c>
      <c r="F6" s="306" t="n">
        <v>6</v>
      </c>
      <c r="G6" s="391" t="n">
        <v>30.6</v>
      </c>
      <c r="H6" s="396" t="n">
        <v>45296</v>
      </c>
      <c r="I6" s="392">
        <f>IFERROR(IF($C6="UV",IF($D6="S+ liner",$G6*INDEX(Prijzen!$C$15:$P$70,MATCH($E6,Prijzen!$B$15:$B$70,0),MATCH($F6,Prijzen!$C$14:$O$14,0))*0.58,IF($D6="M liner",$G6*INDEX(Prijzen!$C$2:$P$11,MATCH($E6,Prijzen!$B$2:$B$11,0),MATCH($F6,Prijzen!$C$1:$P$1,0))*0.58,0)),$G6*INDEX(Prijzen!$C$73:$P$94,MATCH($E6,Prijzen!$B$73:$B$94,0),MATCH($F6,Prijzen!$C$72:$P$72,0))),0)</f>
        <v/>
      </c>
      <c r="J6" s="401">
        <f>IF($H6="","nog te plannen",IFERROR(LOOKUP($H6,Periodetrend!$B$5:$B$17,Periodetrend!$A$5:$A$17),"vóór P1"))</f>
        <v/>
      </c>
    </row>
    <row r="7">
      <c r="A7" s="306" t="inlineStr">
        <is>
          <t>503</t>
        </is>
      </c>
      <c r="B7" s="388" t="inlineStr">
        <is>
          <t>semsschans</t>
        </is>
      </c>
      <c r="C7" s="306" t="inlineStr">
        <is>
          <t>JK</t>
        </is>
      </c>
      <c r="D7" s="306" t="inlineStr"/>
      <c r="E7" s="306" t="n">
        <v>250</v>
      </c>
      <c r="F7" s="306" t="n">
        <v>6</v>
      </c>
      <c r="G7" s="391" t="n">
        <v>60</v>
      </c>
      <c r="H7" s="396" t="n">
        <v>45298</v>
      </c>
      <c r="I7" s="392">
        <f>IFERROR(IF($C7="UV",IF($D7="S+ liner",$G7*INDEX(Prijzen!$C$15:$P$70,MATCH($E7,Prijzen!$B$15:$B$70,0),MATCH($F7,Prijzen!$C$14:$O$14,0))*0.58,IF($D7="M liner",$G7*INDEX(Prijzen!$C$2:$P$11,MATCH($E7,Prijzen!$B$2:$B$11,0),MATCH($F7,Prijzen!$C$1:$P$1,0))*0.58,0)),$G7*INDEX(Prijzen!$C$73:$P$94,MATCH($E7,Prijzen!$B$73:$B$94,0),MATCH($F7,Prijzen!$C$72:$P$72,0))),0)</f>
        <v/>
      </c>
      <c r="J7" s="401">
        <f>IF($H7="","nog te plannen",IFERROR(LOOKUP($H7,Periodetrend!$B$5:$B$17,Periodetrend!$A$5:$A$17),"vóór P1"))</f>
        <v/>
      </c>
    </row>
    <row r="8">
      <c r="A8" s="306" t="inlineStr">
        <is>
          <t>504</t>
        </is>
      </c>
      <c r="B8" s="388" t="inlineStr">
        <is>
          <t>van rijswijckschans</t>
        </is>
      </c>
      <c r="C8" s="306" t="inlineStr">
        <is>
          <t>JK</t>
        </is>
      </c>
      <c r="D8" s="306" t="inlineStr"/>
      <c r="E8" s="306" t="n">
        <v>250</v>
      </c>
      <c r="F8" s="306" t="n">
        <v>6</v>
      </c>
      <c r="G8" s="391" t="n">
        <v>104.7</v>
      </c>
      <c r="H8" s="396" t="n">
        <v>45300</v>
      </c>
      <c r="I8" s="392">
        <f>IFERROR(IF($C8="UV",IF($D8="S+ liner",$G8*INDEX(Prijzen!$C$15:$P$70,MATCH($E8,Prijzen!$B$15:$B$70,0),MATCH($F8,Prijzen!$C$14:$O$14,0))*0.58,IF($D8="M liner",$G8*INDEX(Prijzen!$C$2:$P$11,MATCH($E8,Prijzen!$B$2:$B$11,0),MATCH($F8,Prijzen!$C$1:$P$1,0))*0.58,0)),$G8*INDEX(Prijzen!$C$73:$P$94,MATCH($E8,Prijzen!$B$73:$B$94,0),MATCH($F8,Prijzen!$C$72:$P$72,0))),0)</f>
        <v/>
      </c>
      <c r="J8" s="401">
        <f>IF($H8="","nog te plannen",IFERROR(LOOKUP($H8,Periodetrend!$B$5:$B$17,Periodetrend!$A$5:$A$17),"vóór P1"))</f>
        <v/>
      </c>
    </row>
    <row r="9">
      <c r="A9" s="306" t="inlineStr">
        <is>
          <t>505</t>
        </is>
      </c>
      <c r="B9" s="388" t="inlineStr">
        <is>
          <t>van rijswijckschans</t>
        </is>
      </c>
      <c r="C9" s="306" t="inlineStr">
        <is>
          <t>JK</t>
        </is>
      </c>
      <c r="D9" s="306" t="inlineStr"/>
      <c r="E9" s="306" t="n">
        <v>250</v>
      </c>
      <c r="F9" s="306" t="n">
        <v>6</v>
      </c>
      <c r="G9" s="391" t="n">
        <v>67.3</v>
      </c>
      <c r="H9" s="396" t="n">
        <v>45302</v>
      </c>
      <c r="I9" s="392">
        <f>IFERROR(IF($C9="UV",IF($D9="S+ liner",$G9*INDEX(Prijzen!$C$15:$P$70,MATCH($E9,Prijzen!$B$15:$B$70,0),MATCH($F9,Prijzen!$C$14:$O$14,0))*0.58,IF($D9="M liner",$G9*INDEX(Prijzen!$C$2:$P$11,MATCH($E9,Prijzen!$B$2:$B$11,0),MATCH($F9,Prijzen!$C$1:$P$1,0))*0.58,0)),$G9*INDEX(Prijzen!$C$73:$P$94,MATCH($E9,Prijzen!$B$73:$B$94,0),MATCH($F9,Prijzen!$C$72:$P$72,0))),0)</f>
        <v/>
      </c>
      <c r="J9" s="401">
        <f>IF($H9="","nog te plannen",IFERROR(LOOKUP($H9,Periodetrend!$B$5:$B$17,Periodetrend!$A$5:$A$17),"vóór P1"))</f>
        <v/>
      </c>
    </row>
    <row r="10">
      <c r="A10" s="306" t="inlineStr">
        <is>
          <t>506</t>
        </is>
      </c>
      <c r="B10" s="388" t="inlineStr">
        <is>
          <t>van rijswijckschans</t>
        </is>
      </c>
      <c r="C10" s="306" t="inlineStr">
        <is>
          <t>JK</t>
        </is>
      </c>
      <c r="D10" s="306" t="inlineStr"/>
      <c r="E10" s="306" t="n">
        <v>250</v>
      </c>
      <c r="F10" s="306" t="n">
        <v>6</v>
      </c>
      <c r="G10" s="391" t="n">
        <v>42.1</v>
      </c>
      <c r="H10" s="396" t="n">
        <v>45304</v>
      </c>
      <c r="I10" s="392">
        <f>IFERROR(IF($C10="UV",IF($D10="S+ liner",$G10*INDEX(Prijzen!$C$15:$P$70,MATCH($E10,Prijzen!$B$15:$B$70,0),MATCH($F10,Prijzen!$C$14:$O$14,0))*0.58,IF($D10="M liner",$G10*INDEX(Prijzen!$C$2:$P$11,MATCH($E10,Prijzen!$B$2:$B$11,0),MATCH($F10,Prijzen!$C$1:$P$1,0))*0.58,0)),$G10*INDEX(Prijzen!$C$73:$P$94,MATCH($E10,Prijzen!$B$73:$B$94,0),MATCH($F10,Prijzen!$C$72:$P$72,0))),0)</f>
        <v/>
      </c>
      <c r="J10" s="401">
        <f>IF($H10="","nog te plannen",IFERROR(LOOKUP($H10,Periodetrend!$B$5:$B$17,Periodetrend!$A$5:$A$17),"vóór P1"))</f>
        <v/>
      </c>
    </row>
    <row r="11">
      <c r="A11" s="306" t="inlineStr">
        <is>
          <t>507</t>
        </is>
      </c>
      <c r="B11" s="388" t="inlineStr">
        <is>
          <t>van rijswijckschans</t>
        </is>
      </c>
      <c r="C11" s="306" t="inlineStr">
        <is>
          <t>JK</t>
        </is>
      </c>
      <c r="D11" s="306" t="inlineStr"/>
      <c r="E11" s="306" t="n">
        <v>250</v>
      </c>
      <c r="F11" s="306" t="n">
        <v>6</v>
      </c>
      <c r="G11" s="391" t="n">
        <v>35.4</v>
      </c>
      <c r="H11" s="396" t="n">
        <v>45306</v>
      </c>
      <c r="I11" s="392">
        <f>IFERROR(IF($C11="UV",IF($D11="S+ liner",$G11*INDEX(Prijzen!$C$15:$P$70,MATCH($E11,Prijzen!$B$15:$B$70,0),MATCH($F11,Prijzen!$C$14:$O$14,0))*0.58,IF($D11="M liner",$G11*INDEX(Prijzen!$C$2:$P$11,MATCH($E11,Prijzen!$B$2:$B$11,0),MATCH($F11,Prijzen!$C$1:$P$1,0))*0.58,0)),$G11*INDEX(Prijzen!$C$73:$P$94,MATCH($E11,Prijzen!$B$73:$B$94,0),MATCH($F11,Prijzen!$C$72:$P$72,0))),0)</f>
        <v/>
      </c>
      <c r="J11" s="401">
        <f>IF($H11="","nog te plannen",IFERROR(LOOKUP($H11,Periodetrend!$B$5:$B$17,Periodetrend!$A$5:$A$17),"vóór P1"))</f>
        <v/>
      </c>
    </row>
    <row r="12">
      <c r="A12" s="306" t="inlineStr">
        <is>
          <t>508</t>
        </is>
      </c>
      <c r="B12" s="388" t="inlineStr">
        <is>
          <t>offerhausschans</t>
        </is>
      </c>
      <c r="C12" s="306" t="inlineStr">
        <is>
          <t>JK</t>
        </is>
      </c>
      <c r="D12" s="306" t="inlineStr"/>
      <c r="E12" s="306" t="n">
        <v>250</v>
      </c>
      <c r="F12" s="306" t="n">
        <v>6</v>
      </c>
      <c r="G12" s="391" t="n">
        <v>41.1</v>
      </c>
      <c r="H12" s="396" t="n">
        <v>45308</v>
      </c>
      <c r="I12" s="392">
        <f>IFERROR(IF($C12="UV",IF($D12="S+ liner",$G12*INDEX(Prijzen!$C$15:$P$70,MATCH($E12,Prijzen!$B$15:$B$70,0),MATCH($F12,Prijzen!$C$14:$O$14,0))*0.58,IF($D12="M liner",$G12*INDEX(Prijzen!$C$2:$P$11,MATCH($E12,Prijzen!$B$2:$B$11,0),MATCH($F12,Prijzen!$C$1:$P$1,0))*0.58,0)),$G12*INDEX(Prijzen!$C$73:$P$94,MATCH($E12,Prijzen!$B$73:$B$94,0),MATCH($F12,Prijzen!$C$72:$P$72,0))),0)</f>
        <v/>
      </c>
      <c r="J12" s="401">
        <f>IF($H12="","nog te plannen",IFERROR(LOOKUP($H12,Periodetrend!$B$5:$B$17,Periodetrend!$A$5:$A$17),"vóór P1"))</f>
        <v/>
      </c>
    </row>
    <row r="13">
      <c r="A13" s="306" t="inlineStr">
        <is>
          <t>509</t>
        </is>
      </c>
      <c r="B13" s="388" t="inlineStr">
        <is>
          <t>pelschans</t>
        </is>
      </c>
      <c r="C13" s="306" t="inlineStr">
        <is>
          <t>JK</t>
        </is>
      </c>
      <c r="D13" s="306" t="inlineStr"/>
      <c r="E13" s="306" t="n">
        <v>250</v>
      </c>
      <c r="F13" s="306" t="n">
        <v>6</v>
      </c>
      <c r="G13" s="391" t="n">
        <v>90.40000000000001</v>
      </c>
      <c r="H13" s="396" t="n">
        <v>45310</v>
      </c>
      <c r="I13" s="392">
        <f>IFERROR(IF($C13="UV",IF($D13="S+ liner",$G13*INDEX(Prijzen!$C$15:$P$70,MATCH($E13,Prijzen!$B$15:$B$70,0),MATCH($F13,Prijzen!$C$14:$O$14,0))*0.58,IF($D13="M liner",$G13*INDEX(Prijzen!$C$2:$P$11,MATCH($E13,Prijzen!$B$2:$B$11,0),MATCH($F13,Prijzen!$C$1:$P$1,0))*0.58,0)),$G13*INDEX(Prijzen!$C$73:$P$94,MATCH($E13,Prijzen!$B$73:$B$94,0),MATCH($F13,Prijzen!$C$72:$P$72,0))),0)</f>
        <v/>
      </c>
      <c r="J13" s="401">
        <f>IF($H13="","nog te plannen",IFERROR(LOOKUP($H13,Periodetrend!$B$5:$B$17,Periodetrend!$A$5:$A$17),"vóór P1"))</f>
        <v/>
      </c>
    </row>
    <row r="14">
      <c r="A14" s="306" t="inlineStr">
        <is>
          <t>510</t>
        </is>
      </c>
      <c r="B14" s="388" t="inlineStr">
        <is>
          <t>merkesschans</t>
        </is>
      </c>
      <c r="C14" s="306" t="inlineStr">
        <is>
          <t>JK</t>
        </is>
      </c>
      <c r="D14" s="306" t="inlineStr"/>
      <c r="E14" s="306" t="n">
        <v>250</v>
      </c>
      <c r="F14" s="306" t="n">
        <v>6</v>
      </c>
      <c r="G14" s="391" t="n">
        <v>133.9</v>
      </c>
      <c r="H14" s="396" t="n">
        <v>45321</v>
      </c>
      <c r="I14" s="392">
        <f>IFERROR(IF($C14="UV",IF($D14="S+ liner",$G14*INDEX(Prijzen!$C$15:$P$70,MATCH($E14,Prijzen!$B$15:$B$70,0),MATCH($F14,Prijzen!$C$14:$O$14,0))*0.58,IF($D14="M liner",$G14*INDEX(Prijzen!$C$2:$P$11,MATCH($E14,Prijzen!$B$2:$B$11,0),MATCH($F14,Prijzen!$C$1:$P$1,0))*0.58,0)),$G14*INDEX(Prijzen!$C$73:$P$94,MATCH($E14,Prijzen!$B$73:$B$94,0),MATCH($F14,Prijzen!$C$72:$P$72,0))),0)</f>
        <v/>
      </c>
      <c r="J14" s="401">
        <f>IF($H14="","nog te plannen",IFERROR(LOOKUP($H14,Periodetrend!$B$5:$B$17,Periodetrend!$A$5:$A$17),"vóór P1"))</f>
        <v/>
      </c>
    </row>
    <row r="15">
      <c r="A15" s="306" t="inlineStr">
        <is>
          <t>511</t>
        </is>
      </c>
      <c r="B15" s="388" t="inlineStr">
        <is>
          <t>klinckaertschans</t>
        </is>
      </c>
      <c r="C15" s="306" t="inlineStr">
        <is>
          <t>JK</t>
        </is>
      </c>
      <c r="D15" s="306" t="inlineStr"/>
      <c r="E15" s="306" t="n">
        <v>250</v>
      </c>
      <c r="F15" s="306" t="n">
        <v>6</v>
      </c>
      <c r="G15" s="391" t="n">
        <v>92.3</v>
      </c>
      <c r="H15" s="396" t="n">
        <v>45324</v>
      </c>
      <c r="I15" s="392">
        <f>IFERROR(IF($C15="UV",IF($D15="S+ liner",$G15*INDEX(Prijzen!$C$15:$P$70,MATCH($E15,Prijzen!$B$15:$B$70,0),MATCH($F15,Prijzen!$C$14:$O$14,0))*0.58,IF($D15="M liner",$G15*INDEX(Prijzen!$C$2:$P$11,MATCH($E15,Prijzen!$B$2:$B$11,0),MATCH($F15,Prijzen!$C$1:$P$1,0))*0.58,0)),$G15*INDEX(Prijzen!$C$73:$P$94,MATCH($E15,Prijzen!$B$73:$B$94,0),MATCH($F15,Prijzen!$C$72:$P$72,0))),0)</f>
        <v/>
      </c>
      <c r="J15" s="401">
        <f>IF($H15="","nog te plannen",IFERROR(LOOKUP($H15,Periodetrend!$B$5:$B$17,Periodetrend!$A$5:$A$17),"vóór P1"))</f>
        <v/>
      </c>
    </row>
    <row r="16">
      <c r="A16" s="306" t="inlineStr">
        <is>
          <t>512</t>
        </is>
      </c>
      <c r="B16" s="388" t="inlineStr">
        <is>
          <t>lijnbaan</t>
        </is>
      </c>
      <c r="C16" s="306" t="inlineStr">
        <is>
          <t>JK</t>
        </is>
      </c>
      <c r="D16" s="306" t="inlineStr"/>
      <c r="E16" s="306" t="n">
        <v>250</v>
      </c>
      <c r="F16" s="306" t="n">
        <v>6</v>
      </c>
      <c r="G16" s="391" t="n">
        <v>124.6</v>
      </c>
      <c r="H16" s="396" t="n">
        <v>45327</v>
      </c>
      <c r="I16" s="392">
        <f>IFERROR(IF($C16="UV",IF($D16="S+ liner",$G16*INDEX(Prijzen!$C$15:$P$70,MATCH($E16,Prijzen!$B$15:$B$70,0),MATCH($F16,Prijzen!$C$14:$O$14,0))*0.58,IF($D16="M liner",$G16*INDEX(Prijzen!$C$2:$P$11,MATCH($E16,Prijzen!$B$2:$B$11,0),MATCH($F16,Prijzen!$C$1:$P$1,0))*0.58,0)),$G16*INDEX(Prijzen!$C$73:$P$94,MATCH($E16,Prijzen!$B$73:$B$94,0),MATCH($F16,Prijzen!$C$72:$P$72,0))),0)</f>
        <v/>
      </c>
      <c r="J16" s="401">
        <f>IF($H16="","nog te plannen",IFERROR(LOOKUP($H16,Periodetrend!$B$5:$B$17,Periodetrend!$A$5:$A$17),"vóór P1"))</f>
        <v/>
      </c>
    </row>
    <row r="17">
      <c r="A17" s="306" t="inlineStr">
        <is>
          <t>513</t>
        </is>
      </c>
      <c r="B17" s="388" t="inlineStr">
        <is>
          <t>van embdenruimte</t>
        </is>
      </c>
      <c r="C17" s="306" t="inlineStr">
        <is>
          <t>JK</t>
        </is>
      </c>
      <c r="D17" s="306" t="inlineStr"/>
      <c r="E17" s="306" t="n">
        <v>250</v>
      </c>
      <c r="F17" s="306" t="n">
        <v>6</v>
      </c>
      <c r="G17" s="391" t="n">
        <v>67</v>
      </c>
      <c r="H17" s="396" t="n">
        <v>45330</v>
      </c>
      <c r="I17" s="392">
        <f>IFERROR(IF($C17="UV",IF($D17="S+ liner",$G17*INDEX(Prijzen!$C$15:$P$70,MATCH($E17,Prijzen!$B$15:$B$70,0),MATCH($F17,Prijzen!$C$14:$O$14,0))*0.58,IF($D17="M liner",$G17*INDEX(Prijzen!$C$2:$P$11,MATCH($E17,Prijzen!$B$2:$B$11,0),MATCH($F17,Prijzen!$C$1:$P$1,0))*0.58,0)),$G17*INDEX(Prijzen!$C$73:$P$94,MATCH($E17,Prijzen!$B$73:$B$94,0),MATCH($F17,Prijzen!$C$72:$P$72,0))),0)</f>
        <v/>
      </c>
      <c r="J17" s="401">
        <f>IF($H17="","nog te plannen",IFERROR(LOOKUP($H17,Periodetrend!$B$5:$B$17,Periodetrend!$A$5:$A$17),"vóór P1"))</f>
        <v/>
      </c>
    </row>
    <row r="18">
      <c r="A18" s="306" t="inlineStr">
        <is>
          <t>514</t>
        </is>
      </c>
      <c r="B18" s="388" t="inlineStr">
        <is>
          <t>van embdenruimte</t>
        </is>
      </c>
      <c r="C18" s="306" t="inlineStr">
        <is>
          <t>JK</t>
        </is>
      </c>
      <c r="D18" s="306" t="inlineStr"/>
      <c r="E18" s="306" t="n">
        <v>250</v>
      </c>
      <c r="F18" s="306" t="n">
        <v>6</v>
      </c>
      <c r="G18" s="391" t="n">
        <v>120</v>
      </c>
      <c r="H18" s="396" t="n">
        <v>45333</v>
      </c>
      <c r="I18" s="392">
        <f>IFERROR(IF($C18="UV",IF($D18="S+ liner",$G18*INDEX(Prijzen!$C$15:$P$70,MATCH($E18,Prijzen!$B$15:$B$70,0),MATCH($F18,Prijzen!$C$14:$O$14,0))*0.58,IF($D18="M liner",$G18*INDEX(Prijzen!$C$2:$P$11,MATCH($E18,Prijzen!$B$2:$B$11,0),MATCH($F18,Prijzen!$C$1:$P$1,0))*0.58,0)),$G18*INDEX(Prijzen!$C$73:$P$94,MATCH($E18,Prijzen!$B$73:$B$94,0),MATCH($F18,Prijzen!$C$72:$P$72,0))),0)</f>
        <v/>
      </c>
      <c r="J18" s="401">
        <f>IF($H18="","nog te plannen",IFERROR(LOOKUP($H18,Periodetrend!$B$5:$B$17,Periodetrend!$A$5:$A$17),"vóór P1"))</f>
        <v/>
      </c>
    </row>
    <row r="19">
      <c r="A19" s="306" t="inlineStr">
        <is>
          <t>515</t>
        </is>
      </c>
      <c r="B19" s="388" t="inlineStr">
        <is>
          <t>griffinruimte</t>
        </is>
      </c>
      <c r="C19" s="306" t="inlineStr">
        <is>
          <t>JK</t>
        </is>
      </c>
      <c r="D19" s="306" t="inlineStr"/>
      <c r="E19" s="306" t="n">
        <v>250</v>
      </c>
      <c r="F19" s="306" t="n">
        <v>6</v>
      </c>
      <c r="G19" s="391" t="n">
        <v>66.09999999999999</v>
      </c>
      <c r="H19" s="396" t="n">
        <v>45336</v>
      </c>
      <c r="I19" s="392">
        <f>IFERROR(IF($C19="UV",IF($D19="S+ liner",$G19*INDEX(Prijzen!$C$15:$P$70,MATCH($E19,Prijzen!$B$15:$B$70,0),MATCH($F19,Prijzen!$C$14:$O$14,0))*0.58,IF($D19="M liner",$G19*INDEX(Prijzen!$C$2:$P$11,MATCH($E19,Prijzen!$B$2:$B$11,0),MATCH($F19,Prijzen!$C$1:$P$1,0))*0.58,0)),$G19*INDEX(Prijzen!$C$73:$P$94,MATCH($E19,Prijzen!$B$73:$B$94,0),MATCH($F19,Prijzen!$C$72:$P$72,0))),0)</f>
        <v/>
      </c>
      <c r="J19" s="401">
        <f>IF($H19="","nog te plannen",IFERROR(LOOKUP($H19,Periodetrend!$B$5:$B$17,Periodetrend!$A$5:$A$17),"vóór P1"))</f>
        <v/>
      </c>
    </row>
    <row r="20">
      <c r="A20" s="306" t="inlineStr">
        <is>
          <t>516</t>
        </is>
      </c>
      <c r="B20" s="388" t="inlineStr">
        <is>
          <t>de boomgaard</t>
        </is>
      </c>
      <c r="C20" s="306" t="inlineStr">
        <is>
          <t>JK</t>
        </is>
      </c>
      <c r="D20" s="306" t="inlineStr"/>
      <c r="E20" s="306" t="n">
        <v>250</v>
      </c>
      <c r="F20" s="306" t="n">
        <v>6</v>
      </c>
      <c r="G20" s="391" t="n">
        <v>14.2</v>
      </c>
      <c r="H20" s="396" t="n">
        <v>45339</v>
      </c>
      <c r="I20" s="392">
        <f>IFERROR(IF($C20="UV",IF($D20="S+ liner",$G20*INDEX(Prijzen!$C$15:$P$70,MATCH($E20,Prijzen!$B$15:$B$70,0),MATCH($F20,Prijzen!$C$14:$O$14,0))*0.58,IF($D20="M liner",$G20*INDEX(Prijzen!$C$2:$P$11,MATCH($E20,Prijzen!$B$2:$B$11,0),MATCH($F20,Prijzen!$C$1:$P$1,0))*0.58,0)),$G20*INDEX(Prijzen!$C$73:$P$94,MATCH($E20,Prijzen!$B$73:$B$94,0),MATCH($F20,Prijzen!$C$72:$P$72,0))),0)</f>
        <v/>
      </c>
      <c r="J20" s="401">
        <f>IF($H20="","nog te plannen",IFERROR(LOOKUP($H20,Periodetrend!$B$5:$B$17,Periodetrend!$A$5:$A$17),"vóór P1"))</f>
        <v/>
      </c>
    </row>
    <row r="21">
      <c r="A21" s="306" t="inlineStr">
        <is>
          <t>517</t>
        </is>
      </c>
      <c r="B21" s="388" t="inlineStr">
        <is>
          <t>schansbaan</t>
        </is>
      </c>
      <c r="C21" s="306" t="inlineStr">
        <is>
          <t>JK</t>
        </is>
      </c>
      <c r="D21" s="306" t="inlineStr"/>
      <c r="E21" s="306" t="n">
        <v>250</v>
      </c>
      <c r="F21" s="306" t="n">
        <v>6</v>
      </c>
      <c r="G21" s="391" t="n">
        <v>49.2</v>
      </c>
      <c r="H21" s="396" t="n">
        <v>45342</v>
      </c>
      <c r="I21" s="392">
        <f>IFERROR(IF($C21="UV",IF($D21="S+ liner",$G21*INDEX(Prijzen!$C$15:$P$70,MATCH($E21,Prijzen!$B$15:$B$70,0),MATCH($F21,Prijzen!$C$14:$O$14,0))*0.58,IF($D21="M liner",$G21*INDEX(Prijzen!$C$2:$P$11,MATCH($E21,Prijzen!$B$2:$B$11,0),MATCH($F21,Prijzen!$C$1:$P$1,0))*0.58,0)),$G21*INDEX(Prijzen!$C$73:$P$94,MATCH($E21,Prijzen!$B$73:$B$94,0),MATCH($F21,Prijzen!$C$72:$P$72,0))),0)</f>
        <v/>
      </c>
      <c r="J21" s="401">
        <f>IF($H21="","nog te plannen",IFERROR(LOOKUP($H21,Periodetrend!$B$5:$B$17,Periodetrend!$A$5:$A$17),"vóór P1"))</f>
        <v/>
      </c>
    </row>
    <row r="22">
      <c r="A22" s="306" t="inlineStr">
        <is>
          <t>518</t>
        </is>
      </c>
      <c r="B22" s="388" t="inlineStr">
        <is>
          <t>goudreinethof</t>
        </is>
      </c>
      <c r="C22" s="306" t="inlineStr">
        <is>
          <t>JK</t>
        </is>
      </c>
      <c r="D22" s="306" t="inlineStr"/>
      <c r="E22" s="306" t="n">
        <v>300</v>
      </c>
      <c r="F22" s="306" t="n">
        <v>7.5</v>
      </c>
      <c r="G22" s="391" t="n">
        <v>54.3</v>
      </c>
      <c r="H22" s="396" t="n">
        <v>45349</v>
      </c>
      <c r="I22" s="392">
        <f>IFERROR(IF($C22="UV",IF($D22="S+ liner",$G22*INDEX(Prijzen!$C$15:$P$70,MATCH($E22,Prijzen!$B$15:$B$70,0),MATCH($F22,Prijzen!$C$14:$O$14,0))*0.58,IF($D22="M liner",$G22*INDEX(Prijzen!$C$2:$P$11,MATCH($E22,Prijzen!$B$2:$B$11,0),MATCH($F22,Prijzen!$C$1:$P$1,0))*0.58,0)),$G22*INDEX(Prijzen!$C$73:$P$94,MATCH($E22,Prijzen!$B$73:$B$94,0),MATCH($F22,Prijzen!$C$72:$P$72,0))),0)</f>
        <v/>
      </c>
      <c r="J22" s="401">
        <f>IF($H22="","nog te plannen",IFERROR(LOOKUP($H22,Periodetrend!$B$5:$B$17,Periodetrend!$A$5:$A$17),"vóór P1"))</f>
        <v/>
      </c>
    </row>
    <row r="23">
      <c r="A23" s="306" t="inlineStr">
        <is>
          <t>519</t>
        </is>
      </c>
      <c r="B23" s="388" t="inlineStr">
        <is>
          <t>calandschans</t>
        </is>
      </c>
      <c r="C23" s="306" t="inlineStr">
        <is>
          <t>JK</t>
        </is>
      </c>
      <c r="D23" s="306" t="inlineStr"/>
      <c r="E23" s="306" t="n">
        <v>250</v>
      </c>
      <c r="F23" s="306" t="n">
        <v>6</v>
      </c>
      <c r="G23" s="391" t="n">
        <v>123.6</v>
      </c>
      <c r="H23" s="396" t="n">
        <v>45352</v>
      </c>
      <c r="I23" s="392">
        <f>IFERROR(IF($C23="UV",IF($D23="S+ liner",$G23*INDEX(Prijzen!$C$15:$P$70,MATCH($E23,Prijzen!$B$15:$B$70,0),MATCH($F23,Prijzen!$C$14:$O$14,0))*0.58,IF($D23="M liner",$G23*INDEX(Prijzen!$C$2:$P$11,MATCH($E23,Prijzen!$B$2:$B$11,0),MATCH($F23,Prijzen!$C$1:$P$1,0))*0.58,0)),$G23*INDEX(Prijzen!$C$73:$P$94,MATCH($E23,Prijzen!$B$73:$B$94,0),MATCH($F23,Prijzen!$C$72:$P$72,0))),0)</f>
        <v/>
      </c>
      <c r="J23" s="401">
        <f>IF($H23="","nog te plannen",IFERROR(LOOKUP($H23,Periodetrend!$B$5:$B$17,Periodetrend!$A$5:$A$17),"vóór P1"))</f>
        <v/>
      </c>
    </row>
    <row r="24">
      <c r="A24" s="306" t="inlineStr">
        <is>
          <t>520</t>
        </is>
      </c>
      <c r="B24" s="388" t="inlineStr">
        <is>
          <t>corbuloschans</t>
        </is>
      </c>
      <c r="C24" s="306" t="inlineStr">
        <is>
          <t>JK</t>
        </is>
      </c>
      <c r="D24" s="306" t="inlineStr"/>
      <c r="E24" s="306" t="n">
        <v>250</v>
      </c>
      <c r="F24" s="306" t="n">
        <v>6</v>
      </c>
      <c r="G24" s="391" t="n">
        <v>87.59999999999999</v>
      </c>
      <c r="H24" s="396" t="n">
        <v>45355</v>
      </c>
      <c r="I24" s="392">
        <f>IFERROR(IF($C24="UV",IF($D24="S+ liner",$G24*INDEX(Prijzen!$C$15:$P$70,MATCH($E24,Prijzen!$B$15:$B$70,0),MATCH($F24,Prijzen!$C$14:$O$14,0))*0.58,IF($D24="M liner",$G24*INDEX(Prijzen!$C$2:$P$11,MATCH($E24,Prijzen!$B$2:$B$11,0),MATCH($F24,Prijzen!$C$1:$P$1,0))*0.58,0)),$G24*INDEX(Prijzen!$C$73:$P$94,MATCH($E24,Prijzen!$B$73:$B$94,0),MATCH($F24,Prijzen!$C$72:$P$72,0))),0)</f>
        <v/>
      </c>
      <c r="J24" s="401">
        <f>IF($H24="","nog te plannen",IFERROR(LOOKUP($H24,Periodetrend!$B$5:$B$17,Periodetrend!$A$5:$A$17),"vóór P1"))</f>
        <v/>
      </c>
    </row>
    <row r="25">
      <c r="A25" s="306" t="inlineStr">
        <is>
          <t>521</t>
        </is>
      </c>
      <c r="B25" s="388" t="inlineStr">
        <is>
          <t>van den corputschans</t>
        </is>
      </c>
      <c r="C25" s="306" t="inlineStr">
        <is>
          <t>JK</t>
        </is>
      </c>
      <c r="D25" s="306" t="inlineStr"/>
      <c r="E25" s="306" t="n">
        <v>250</v>
      </c>
      <c r="F25" s="306" t="n">
        <v>6</v>
      </c>
      <c r="G25" s="391" t="n">
        <v>121.4</v>
      </c>
      <c r="H25" s="396" t="n">
        <v>45358</v>
      </c>
      <c r="I25" s="392">
        <f>IFERROR(IF($C25="UV",IF($D25="S+ liner",$G25*INDEX(Prijzen!$C$15:$P$70,MATCH($E25,Prijzen!$B$15:$B$70,0),MATCH($F25,Prijzen!$C$14:$O$14,0))*0.58,IF($D25="M liner",$G25*INDEX(Prijzen!$C$2:$P$11,MATCH($E25,Prijzen!$B$2:$B$11,0),MATCH($F25,Prijzen!$C$1:$P$1,0))*0.58,0)),$G25*INDEX(Prijzen!$C$73:$P$94,MATCH($E25,Prijzen!$B$73:$B$94,0),MATCH($F25,Prijzen!$C$72:$P$72,0))),0)</f>
        <v/>
      </c>
      <c r="J25" s="401">
        <f>IF($H25="","nog te plannen",IFERROR(LOOKUP($H25,Periodetrend!$B$5:$B$17,Periodetrend!$A$5:$A$17),"vóór P1"))</f>
        <v/>
      </c>
    </row>
    <row r="26">
      <c r="A26" s="306" t="inlineStr">
        <is>
          <t>522</t>
        </is>
      </c>
      <c r="B26" s="388" t="inlineStr">
        <is>
          <t>corbuloschans</t>
        </is>
      </c>
      <c r="C26" s="306" t="inlineStr">
        <is>
          <t>JK</t>
        </is>
      </c>
      <c r="D26" s="306" t="inlineStr"/>
      <c r="E26" s="306" t="n">
        <v>250</v>
      </c>
      <c r="F26" s="306" t="n">
        <v>6</v>
      </c>
      <c r="G26" s="391" t="n">
        <v>93.8</v>
      </c>
      <c r="H26" s="396" t="n">
        <v>45361</v>
      </c>
      <c r="I26" s="392">
        <f>IFERROR(IF($C26="UV",IF($D26="S+ liner",$G26*INDEX(Prijzen!$C$15:$P$70,MATCH($E26,Prijzen!$B$15:$B$70,0),MATCH($F26,Prijzen!$C$14:$O$14,0))*0.58,IF($D26="M liner",$G26*INDEX(Prijzen!$C$2:$P$11,MATCH($E26,Prijzen!$B$2:$B$11,0),MATCH($F26,Prijzen!$C$1:$P$1,0))*0.58,0)),$G26*INDEX(Prijzen!$C$73:$P$94,MATCH($E26,Prijzen!$B$73:$B$94,0),MATCH($F26,Prijzen!$C$72:$P$72,0))),0)</f>
        <v/>
      </c>
      <c r="J26" s="401">
        <f>IF($H26="","nog te plannen",IFERROR(LOOKUP($H26,Periodetrend!$B$5:$B$17,Periodetrend!$A$5:$A$17),"vóór P1"))</f>
        <v/>
      </c>
    </row>
    <row r="27">
      <c r="A27" s="306" t="inlineStr">
        <is>
          <t>523</t>
        </is>
      </c>
      <c r="B27" s="388" t="inlineStr">
        <is>
          <t>semsschans</t>
        </is>
      </c>
      <c r="C27" s="306" t="inlineStr">
        <is>
          <t>JK</t>
        </is>
      </c>
      <c r="D27" s="306" t="inlineStr"/>
      <c r="E27" s="306" t="n">
        <v>250</v>
      </c>
      <c r="F27" s="306" t="n">
        <v>6</v>
      </c>
      <c r="G27" s="391" t="n">
        <v>60.9</v>
      </c>
      <c r="H27" s="396" t="n">
        <v>45364</v>
      </c>
      <c r="I27" s="392">
        <f>IFERROR(IF($C27="UV",IF($D27="S+ liner",$G27*INDEX(Prijzen!$C$15:$P$70,MATCH($E27,Prijzen!$B$15:$B$70,0),MATCH($F27,Prijzen!$C$14:$O$14,0))*0.58,IF($D27="M liner",$G27*INDEX(Prijzen!$C$2:$P$11,MATCH($E27,Prijzen!$B$2:$B$11,0),MATCH($F27,Prijzen!$C$1:$P$1,0))*0.58,0)),$G27*INDEX(Prijzen!$C$73:$P$94,MATCH($E27,Prijzen!$B$73:$B$94,0),MATCH($F27,Prijzen!$C$72:$P$72,0))),0)</f>
        <v/>
      </c>
      <c r="J27" s="401">
        <f>IF($H27="","nog te plannen",IFERROR(LOOKUP($H27,Periodetrend!$B$5:$B$17,Periodetrend!$A$5:$A$17),"vóór P1"))</f>
        <v/>
      </c>
    </row>
    <row r="28">
      <c r="A28" s="306" t="inlineStr">
        <is>
          <t>524</t>
        </is>
      </c>
      <c r="B28" s="388" t="inlineStr">
        <is>
          <t>van rijswijckschans</t>
        </is>
      </c>
      <c r="C28" s="306" t="inlineStr">
        <is>
          <t>JK</t>
        </is>
      </c>
      <c r="D28" s="306" t="inlineStr"/>
      <c r="E28" s="306" t="n">
        <v>250</v>
      </c>
      <c r="F28" s="306" t="n">
        <v>6</v>
      </c>
      <c r="G28" s="391" t="n">
        <v>49.2</v>
      </c>
      <c r="H28" s="396" t="n">
        <v>45367</v>
      </c>
      <c r="I28" s="392">
        <f>IFERROR(IF($C28="UV",IF($D28="S+ liner",$G28*INDEX(Prijzen!$C$15:$P$70,MATCH($E28,Prijzen!$B$15:$B$70,0),MATCH($F28,Prijzen!$C$14:$O$14,0))*0.58,IF($D28="M liner",$G28*INDEX(Prijzen!$C$2:$P$11,MATCH($E28,Prijzen!$B$2:$B$11,0),MATCH($F28,Prijzen!$C$1:$P$1,0))*0.58,0)),$G28*INDEX(Prijzen!$C$73:$P$94,MATCH($E28,Prijzen!$B$73:$B$94,0),MATCH($F28,Prijzen!$C$72:$P$72,0))),0)</f>
        <v/>
      </c>
      <c r="J28" s="401">
        <f>IF($H28="","nog te plannen",IFERROR(LOOKUP($H28,Periodetrend!$B$5:$B$17,Periodetrend!$A$5:$A$17),"vóór P1"))</f>
        <v/>
      </c>
    </row>
    <row r="29">
      <c r="A29" s="306" t="inlineStr">
        <is>
          <t>525</t>
        </is>
      </c>
      <c r="B29" s="388" t="inlineStr">
        <is>
          <t>van rijswijckschans</t>
        </is>
      </c>
      <c r="C29" s="306" t="inlineStr">
        <is>
          <t>JK</t>
        </is>
      </c>
      <c r="D29" s="306" t="inlineStr"/>
      <c r="E29" s="306" t="n">
        <v>250</v>
      </c>
      <c r="F29" s="306" t="n">
        <v>6</v>
      </c>
      <c r="G29" s="391" t="n">
        <v>106.1</v>
      </c>
      <c r="H29" s="396" t="n">
        <v>45370</v>
      </c>
      <c r="I29" s="392">
        <f>IFERROR(IF($C29="UV",IF($D29="S+ liner",$G29*INDEX(Prijzen!$C$15:$P$70,MATCH($E29,Prijzen!$B$15:$B$70,0),MATCH($F29,Prijzen!$C$14:$O$14,0))*0.58,IF($D29="M liner",$G29*INDEX(Prijzen!$C$2:$P$11,MATCH($E29,Prijzen!$B$2:$B$11,0),MATCH($F29,Prijzen!$C$1:$P$1,0))*0.58,0)),$G29*INDEX(Prijzen!$C$73:$P$94,MATCH($E29,Prijzen!$B$73:$B$94,0),MATCH($F29,Prijzen!$C$72:$P$72,0))),0)</f>
        <v/>
      </c>
      <c r="J29" s="401">
        <f>IF($H29="","nog te plannen",IFERROR(LOOKUP($H29,Periodetrend!$B$5:$B$17,Periodetrend!$A$5:$A$17),"vóór P1"))</f>
        <v/>
      </c>
    </row>
    <row r="30">
      <c r="A30" s="306" t="n"/>
      <c r="B30" s="388" t="n"/>
      <c r="C30" s="306" t="n"/>
      <c r="D30" s="306" t="n"/>
      <c r="E30" s="306" t="n"/>
      <c r="F30" s="306" t="n"/>
      <c r="G30" s="391" t="n"/>
      <c r="H30" s="388" t="n"/>
      <c r="I30" s="392">
        <f>IFERROR(IF($C30="UV",IF($D30="S+ liner",$G30*INDEX(Prijzen!$C$15:$P$70,MATCH($E30,Prijzen!$B$15:$B$70,0),MATCH($F30,Prijzen!$C$14:$O$14,0))*0.58,IF($D30="M liner",$G30*INDEX(Prijzen!$C$2:$P$11,MATCH($E30,Prijzen!$B$2:$B$11,0),MATCH($F30,Prijzen!$C$1:$P$1,0))*0.58,0)),$G30*INDEX(Prijzen!$C$73:$P$94,MATCH($E30,Prijzen!$B$73:$B$94,0),MATCH($F30,Prijzen!$C$72:$P$72,0))),0)</f>
        <v/>
      </c>
      <c r="J30" s="401">
        <f>IF($H30="","nog te plannen",IFERROR(LOOKUP($H30,Periodetrend!$B$5:$B$17,Periodetrend!$A$5:$A$17),"vóór P1"))</f>
        <v/>
      </c>
    </row>
    <row r="31">
      <c r="A31" s="306" t="n"/>
      <c r="B31" s="388" t="n"/>
      <c r="C31" s="306" t="n"/>
      <c r="D31" s="306" t="n"/>
      <c r="E31" s="306" t="n"/>
      <c r="F31" s="306" t="n"/>
      <c r="G31" s="391" t="n"/>
      <c r="H31" s="388" t="n"/>
      <c r="I31" s="392">
        <f>IFERROR(IF($C31="UV",IF($D31="S+ liner",$G31*INDEX(Prijzen!$C$15:$P$70,MATCH($E31,Prijzen!$B$15:$B$70,0),MATCH($F31,Prijzen!$C$14:$O$14,0))*0.58,IF($D31="M liner",$G31*INDEX(Prijzen!$C$2:$P$11,MATCH($E31,Prijzen!$B$2:$B$11,0),MATCH($F31,Prijzen!$C$1:$P$1,0))*0.58,0)),$G31*INDEX(Prijzen!$C$73:$P$94,MATCH($E31,Prijzen!$B$73:$B$94,0),MATCH($F31,Prijzen!$C$72:$P$72,0))),0)</f>
        <v/>
      </c>
      <c r="J31" s="401">
        <f>IF($H31="","nog te plannen",IFERROR(LOOKUP($H31,Periodetrend!$B$5:$B$17,Periodetrend!$A$5:$A$17),"vóór P1"))</f>
        <v/>
      </c>
    </row>
    <row r="32">
      <c r="A32" s="306" t="n"/>
      <c r="B32" s="388" t="n"/>
      <c r="C32" s="306" t="n"/>
      <c r="D32" s="306" t="n"/>
      <c r="E32" s="306" t="n"/>
      <c r="F32" s="306" t="n"/>
      <c r="G32" s="391" t="n"/>
      <c r="H32" s="388" t="n"/>
      <c r="I32" s="392">
        <f>IFERROR(IF($C32="UV",IF($D32="S+ liner",$G32*INDEX(Prijzen!$C$15:$P$70,MATCH($E32,Prijzen!$B$15:$B$70,0),MATCH($F32,Prijzen!$C$14:$O$14,0))*0.58,IF($D32="M liner",$G32*INDEX(Prijzen!$C$2:$P$11,MATCH($E32,Prijzen!$B$2:$B$11,0),MATCH($F32,Prijzen!$C$1:$P$1,0))*0.58,0)),$G32*INDEX(Prijzen!$C$73:$P$94,MATCH($E32,Prijzen!$B$73:$B$94,0),MATCH($F32,Prijzen!$C$72:$P$72,0))),0)</f>
        <v/>
      </c>
      <c r="J32" s="401">
        <f>IF($H32="","nog te plannen",IFERROR(LOOKUP($H32,Periodetrend!$B$5:$B$17,Periodetrend!$A$5:$A$17),"vóór P1"))</f>
        <v/>
      </c>
    </row>
    <row r="33">
      <c r="A33" s="306" t="n"/>
      <c r="B33" s="388" t="n"/>
      <c r="C33" s="306" t="n"/>
      <c r="D33" s="306" t="n"/>
      <c r="E33" s="306" t="n"/>
      <c r="F33" s="306" t="n"/>
      <c r="G33" s="391" t="n"/>
      <c r="H33" s="388" t="n"/>
      <c r="I33" s="392">
        <f>IFERROR(IF($C33="UV",IF($D33="S+ liner",$G33*INDEX(Prijzen!$C$15:$P$70,MATCH($E33,Prijzen!$B$15:$B$70,0),MATCH($F33,Prijzen!$C$14:$O$14,0))*0.58,IF($D33="M liner",$G33*INDEX(Prijzen!$C$2:$P$11,MATCH($E33,Prijzen!$B$2:$B$11,0),MATCH($F33,Prijzen!$C$1:$P$1,0))*0.58,0)),$G33*INDEX(Prijzen!$C$73:$P$94,MATCH($E33,Prijzen!$B$73:$B$94,0),MATCH($F33,Prijzen!$C$72:$P$72,0))),0)</f>
        <v/>
      </c>
      <c r="J33" s="401">
        <f>IF($H33="","nog te plannen",IFERROR(LOOKUP($H33,Periodetrend!$B$5:$B$17,Periodetrend!$A$5:$A$17),"vóór P1"))</f>
        <v/>
      </c>
    </row>
    <row r="34">
      <c r="A34" s="306" t="n"/>
      <c r="B34" s="388" t="n"/>
      <c r="C34" s="306" t="n"/>
      <c r="D34" s="306" t="n"/>
      <c r="E34" s="306" t="n"/>
      <c r="F34" s="306" t="n"/>
      <c r="G34" s="391" t="n"/>
      <c r="H34" s="388" t="n"/>
      <c r="I34" s="392">
        <f>IFERROR(IF($C34="UV",IF($D34="S+ liner",$G34*INDEX(Prijzen!$C$15:$P$70,MATCH($E34,Prijzen!$B$15:$B$70,0),MATCH($F34,Prijzen!$C$14:$O$14,0))*0.58,IF($D34="M liner",$G34*INDEX(Prijzen!$C$2:$P$11,MATCH($E34,Prijzen!$B$2:$B$11,0),MATCH($F34,Prijzen!$C$1:$P$1,0))*0.58,0)),$G34*INDEX(Prijzen!$C$73:$P$94,MATCH($E34,Prijzen!$B$73:$B$94,0),MATCH($F34,Prijzen!$C$72:$P$72,0))),0)</f>
        <v/>
      </c>
      <c r="J34" s="401">
        <f>IF($H34="","nog te plannen",IFERROR(LOOKUP($H34,Periodetrend!$B$5:$B$17,Periodetrend!$A$5:$A$17),"vóór P1"))</f>
        <v/>
      </c>
    </row>
    <row r="35">
      <c r="A35" s="306" t="n"/>
      <c r="B35" s="388" t="n"/>
      <c r="C35" s="306" t="n"/>
      <c r="D35" s="306" t="n"/>
      <c r="E35" s="306" t="n"/>
      <c r="F35" s="306" t="n"/>
      <c r="G35" s="391" t="n"/>
      <c r="H35" s="388" t="n"/>
      <c r="I35" s="392">
        <f>IFERROR(IF($C35="UV",IF($D35="S+ liner",$G35*INDEX(Prijzen!$C$15:$P$70,MATCH($E35,Prijzen!$B$15:$B$70,0),MATCH($F35,Prijzen!$C$14:$O$14,0))*0.58,IF($D35="M liner",$G35*INDEX(Prijzen!$C$2:$P$11,MATCH($E35,Prijzen!$B$2:$B$11,0),MATCH($F35,Prijzen!$C$1:$P$1,0))*0.58,0)),$G35*INDEX(Prijzen!$C$73:$P$94,MATCH($E35,Prijzen!$B$73:$B$94,0),MATCH($F35,Prijzen!$C$72:$P$72,0))),0)</f>
        <v/>
      </c>
      <c r="J35" s="401">
        <f>IF($H35="","nog te plannen",IFERROR(LOOKUP($H35,Periodetrend!$B$5:$B$17,Periodetrend!$A$5:$A$17),"vóór P1"))</f>
        <v/>
      </c>
    </row>
    <row r="36">
      <c r="A36" s="306" t="n"/>
      <c r="B36" s="388" t="n"/>
      <c r="C36" s="306" t="n"/>
      <c r="D36" s="306" t="n"/>
      <c r="E36" s="306" t="n"/>
      <c r="F36" s="306" t="n"/>
      <c r="G36" s="391" t="n"/>
      <c r="H36" s="388" t="n"/>
      <c r="I36" s="392">
        <f>IFERROR(IF($C36="UV",IF($D36="S+ liner",$G36*INDEX(Prijzen!$C$15:$P$70,MATCH($E36,Prijzen!$B$15:$B$70,0),MATCH($F36,Prijzen!$C$14:$O$14,0))*0.58,IF($D36="M liner",$G36*INDEX(Prijzen!$C$2:$P$11,MATCH($E36,Prijzen!$B$2:$B$11,0),MATCH($F36,Prijzen!$C$1:$P$1,0))*0.58,0)),$G36*INDEX(Prijzen!$C$73:$P$94,MATCH($E36,Prijzen!$B$73:$B$94,0),MATCH($F36,Prijzen!$C$72:$P$72,0))),0)</f>
        <v/>
      </c>
      <c r="J36" s="401">
        <f>IF($H36="","nog te plannen",IFERROR(LOOKUP($H36,Periodetrend!$B$5:$B$17,Periodetrend!$A$5:$A$17),"vóór P1"))</f>
        <v/>
      </c>
    </row>
    <row r="37">
      <c r="A37" s="306" t="n"/>
      <c r="B37" s="388" t="n"/>
      <c r="C37" s="306" t="n"/>
      <c r="D37" s="306" t="n"/>
      <c r="E37" s="306" t="n"/>
      <c r="F37" s="306" t="n"/>
      <c r="G37" s="391" t="n"/>
      <c r="H37" s="388" t="n"/>
      <c r="I37" s="392">
        <f>IFERROR(IF($C37="UV",IF($D37="S+ liner",$G37*INDEX(Prijzen!$C$15:$P$70,MATCH($E37,Prijzen!$B$15:$B$70,0),MATCH($F37,Prijzen!$C$14:$O$14,0))*0.58,IF($D37="M liner",$G37*INDEX(Prijzen!$C$2:$P$11,MATCH($E37,Prijzen!$B$2:$B$11,0),MATCH($F37,Prijzen!$C$1:$P$1,0))*0.58,0)),$G37*INDEX(Prijzen!$C$73:$P$94,MATCH($E37,Prijzen!$B$73:$B$94,0),MATCH($F37,Prijzen!$C$72:$P$72,0))),0)</f>
        <v/>
      </c>
      <c r="J37" s="401">
        <f>IF($H37="","nog te plannen",IFERROR(LOOKUP($H37,Periodetrend!$B$5:$B$17,Periodetrend!$A$5:$A$17),"vóór P1"))</f>
        <v/>
      </c>
    </row>
    <row r="38">
      <c r="A38" s="306" t="n"/>
      <c r="B38" s="388" t="n"/>
      <c r="C38" s="306" t="n"/>
      <c r="D38" s="306" t="n"/>
      <c r="E38" s="306" t="n"/>
      <c r="F38" s="306" t="n"/>
      <c r="G38" s="391" t="n"/>
      <c r="H38" s="388" t="n"/>
      <c r="I38" s="392">
        <f>IFERROR(IF($C38="UV",IF($D38="S+ liner",$G38*INDEX(Prijzen!$C$15:$P$70,MATCH($E38,Prijzen!$B$15:$B$70,0),MATCH($F38,Prijzen!$C$14:$O$14,0))*0.58,IF($D38="M liner",$G38*INDEX(Prijzen!$C$2:$P$11,MATCH($E38,Prijzen!$B$2:$B$11,0),MATCH($F38,Prijzen!$C$1:$P$1,0))*0.58,0)),$G38*INDEX(Prijzen!$C$73:$P$94,MATCH($E38,Prijzen!$B$73:$B$94,0),MATCH($F38,Prijzen!$C$72:$P$72,0))),0)</f>
        <v/>
      </c>
      <c r="J38" s="401">
        <f>IF($H38="","nog te plannen",IFERROR(LOOKUP($H38,Periodetrend!$B$5:$B$17,Periodetrend!$A$5:$A$17),"vóór P1"))</f>
        <v/>
      </c>
    </row>
    <row r="39">
      <c r="A39" s="306" t="n"/>
      <c r="B39" s="388" t="n"/>
      <c r="C39" s="306" t="n"/>
      <c r="D39" s="306" t="n"/>
      <c r="E39" s="306" t="n"/>
      <c r="F39" s="306" t="n"/>
      <c r="G39" s="391" t="n"/>
      <c r="H39" s="388" t="n"/>
      <c r="I39" s="392">
        <f>IFERROR(IF($C39="UV",IF($D39="S+ liner",$G39*INDEX(Prijzen!$C$15:$P$70,MATCH($E39,Prijzen!$B$15:$B$70,0),MATCH($F39,Prijzen!$C$14:$O$14,0))*0.58,IF($D39="M liner",$G39*INDEX(Prijzen!$C$2:$P$11,MATCH($E39,Prijzen!$B$2:$B$11,0),MATCH($F39,Prijzen!$C$1:$P$1,0))*0.58,0)),$G39*INDEX(Prijzen!$C$73:$P$94,MATCH($E39,Prijzen!$B$73:$B$94,0),MATCH($F39,Prijzen!$C$72:$P$72,0))),0)</f>
        <v/>
      </c>
      <c r="J39" s="401">
        <f>IF($H39="","nog te plannen",IFERROR(LOOKUP($H39,Periodetrend!$B$5:$B$17,Periodetrend!$A$5:$A$17),"vóór P1"))</f>
        <v/>
      </c>
    </row>
    <row r="40">
      <c r="A40" s="306" t="n"/>
      <c r="B40" s="388" t="n"/>
      <c r="C40" s="306" t="n"/>
      <c r="D40" s="306" t="n"/>
      <c r="E40" s="306" t="n"/>
      <c r="F40" s="306" t="n"/>
      <c r="G40" s="391" t="n"/>
      <c r="H40" s="388" t="n"/>
      <c r="I40" s="392">
        <f>IFERROR(IF($C40="UV",IF($D40="S+ liner",$G40*INDEX(Prijzen!$C$15:$P$70,MATCH($E40,Prijzen!$B$15:$B$70,0),MATCH($F40,Prijzen!$C$14:$O$14,0))*0.58,IF($D40="M liner",$G40*INDEX(Prijzen!$C$2:$P$11,MATCH($E40,Prijzen!$B$2:$B$11,0),MATCH($F40,Prijzen!$C$1:$P$1,0))*0.58,0)),$G40*INDEX(Prijzen!$C$73:$P$94,MATCH($E40,Prijzen!$B$73:$B$94,0),MATCH($F40,Prijzen!$C$72:$P$72,0))),0)</f>
        <v/>
      </c>
      <c r="J40" s="401">
        <f>IF($H40="","nog te plannen",IFERROR(LOOKUP($H40,Periodetrend!$B$5:$B$17,Periodetrend!$A$5:$A$17),"vóór P1"))</f>
        <v/>
      </c>
    </row>
    <row r="41">
      <c r="A41" s="306" t="n"/>
      <c r="B41" s="388" t="n"/>
      <c r="C41" s="306" t="n"/>
      <c r="D41" s="306" t="n"/>
      <c r="E41" s="306" t="n"/>
      <c r="F41" s="306" t="n"/>
      <c r="G41" s="391" t="n"/>
      <c r="H41" s="388" t="n"/>
      <c r="I41" s="392">
        <f>IFERROR(IF($C41="UV",IF($D41="S+ liner",$G41*INDEX(Prijzen!$C$15:$P$70,MATCH($E41,Prijzen!$B$15:$B$70,0),MATCH($F41,Prijzen!$C$14:$O$14,0))*0.58,IF($D41="M liner",$G41*INDEX(Prijzen!$C$2:$P$11,MATCH($E41,Prijzen!$B$2:$B$11,0),MATCH($F41,Prijzen!$C$1:$P$1,0))*0.58,0)),$G41*INDEX(Prijzen!$C$73:$P$94,MATCH($E41,Prijzen!$B$73:$B$94,0),MATCH($F41,Prijzen!$C$72:$P$72,0))),0)</f>
        <v/>
      </c>
      <c r="J41" s="401">
        <f>IF($H41="","nog te plannen",IFERROR(LOOKUP($H41,Periodetrend!$B$5:$B$17,Periodetrend!$A$5:$A$17),"vóór P1"))</f>
        <v/>
      </c>
    </row>
    <row r="42">
      <c r="A42" s="306" t="n"/>
      <c r="B42" s="388" t="n"/>
      <c r="C42" s="306" t="n"/>
      <c r="D42" s="306" t="n"/>
      <c r="E42" s="306" t="n"/>
      <c r="F42" s="306" t="n"/>
      <c r="G42" s="391" t="n"/>
      <c r="H42" s="388" t="n"/>
      <c r="I42" s="392">
        <f>IFERROR(IF($C42="UV",IF($D42="S+ liner",$G42*INDEX(Prijzen!$C$15:$P$70,MATCH($E42,Prijzen!$B$15:$B$70,0),MATCH($F42,Prijzen!$C$14:$O$14,0))*0.58,IF($D42="M liner",$G42*INDEX(Prijzen!$C$2:$P$11,MATCH($E42,Prijzen!$B$2:$B$11,0),MATCH($F42,Prijzen!$C$1:$P$1,0))*0.58,0)),$G42*INDEX(Prijzen!$C$73:$P$94,MATCH($E42,Prijzen!$B$73:$B$94,0),MATCH($F42,Prijzen!$C$72:$P$72,0))),0)</f>
        <v/>
      </c>
      <c r="J42" s="401">
        <f>IF($H42="","nog te plannen",IFERROR(LOOKUP($H42,Periodetrend!$B$5:$B$17,Periodetrend!$A$5:$A$17),"vóór P1"))</f>
        <v/>
      </c>
    </row>
    <row r="43">
      <c r="A43" s="306" t="n"/>
      <c r="B43" s="388" t="n"/>
      <c r="C43" s="306" t="n"/>
      <c r="D43" s="306" t="n"/>
      <c r="E43" s="306" t="n"/>
      <c r="F43" s="306" t="n"/>
      <c r="G43" s="391" t="n"/>
      <c r="H43" s="388" t="n"/>
      <c r="I43" s="392">
        <f>IFERROR(IF($C43="UV",IF($D43="S+ liner",$G43*INDEX(Prijzen!$C$15:$P$70,MATCH($E43,Prijzen!$B$15:$B$70,0),MATCH($F43,Prijzen!$C$14:$O$14,0))*0.58,IF($D43="M liner",$G43*INDEX(Prijzen!$C$2:$P$11,MATCH($E43,Prijzen!$B$2:$B$11,0),MATCH($F43,Prijzen!$C$1:$P$1,0))*0.58,0)),$G43*INDEX(Prijzen!$C$73:$P$94,MATCH($E43,Prijzen!$B$73:$B$94,0),MATCH($F43,Prijzen!$C$72:$P$72,0))),0)</f>
        <v/>
      </c>
      <c r="J43" s="401">
        <f>IF($H43="","nog te plannen",IFERROR(LOOKUP($H43,Periodetrend!$B$5:$B$17,Periodetrend!$A$5:$A$17),"vóór P1"))</f>
        <v/>
      </c>
    </row>
    <row r="44">
      <c r="A44" s="306" t="n"/>
      <c r="B44" s="388" t="n"/>
      <c r="C44" s="306" t="n"/>
      <c r="D44" s="306" t="n"/>
      <c r="E44" s="306" t="n"/>
      <c r="F44" s="306" t="n"/>
      <c r="G44" s="391" t="n"/>
      <c r="H44" s="388" t="n"/>
      <c r="I44" s="392">
        <f>IFERROR(IF($C44="UV",IF($D44="S+ liner",$G44*INDEX(Prijzen!$C$15:$P$70,MATCH($E44,Prijzen!$B$15:$B$70,0),MATCH($F44,Prijzen!$C$14:$O$14,0))*0.58,IF($D44="M liner",$G44*INDEX(Prijzen!$C$2:$P$11,MATCH($E44,Prijzen!$B$2:$B$11,0),MATCH($F44,Prijzen!$C$1:$P$1,0))*0.58,0)),$G44*INDEX(Prijzen!$C$73:$P$94,MATCH($E44,Prijzen!$B$73:$B$94,0),MATCH($F44,Prijzen!$C$72:$P$72,0))),0)</f>
        <v/>
      </c>
      <c r="J44" s="401">
        <f>IF($H44="","nog te plannen",IFERROR(LOOKUP($H44,Periodetrend!$B$5:$B$17,Periodetrend!$A$5:$A$17),"vóór P1"))</f>
        <v/>
      </c>
    </row>
    <row r="45">
      <c r="A45" s="306" t="n"/>
      <c r="B45" s="388" t="n"/>
      <c r="C45" s="306" t="n"/>
      <c r="D45" s="306" t="n"/>
      <c r="E45" s="306" t="n"/>
      <c r="F45" s="306" t="n"/>
      <c r="G45" s="391" t="n"/>
      <c r="H45" s="388" t="n"/>
      <c r="I45" s="392">
        <f>IFERROR(IF($C45="UV",IF($D45="S+ liner",$G45*INDEX(Prijzen!$C$15:$P$70,MATCH($E45,Prijzen!$B$15:$B$70,0),MATCH($F45,Prijzen!$C$14:$O$14,0))*0.58,IF($D45="M liner",$G45*INDEX(Prijzen!$C$2:$P$11,MATCH($E45,Prijzen!$B$2:$B$11,0),MATCH($F45,Prijzen!$C$1:$P$1,0))*0.58,0)),$G45*INDEX(Prijzen!$C$73:$P$94,MATCH($E45,Prijzen!$B$73:$B$94,0),MATCH($F45,Prijzen!$C$72:$P$72,0))),0)</f>
        <v/>
      </c>
      <c r="J45" s="401">
        <f>IF($H45="","nog te plannen",IFERROR(LOOKUP($H45,Periodetrend!$B$5:$B$17,Periodetrend!$A$5:$A$17),"vóór P1"))</f>
        <v/>
      </c>
    </row>
    <row r="46">
      <c r="A46" s="306" t="n"/>
      <c r="B46" s="388" t="n"/>
      <c r="C46" s="306" t="n"/>
      <c r="D46" s="306" t="n"/>
      <c r="E46" s="306" t="n"/>
      <c r="F46" s="306" t="n"/>
      <c r="G46" s="391" t="n"/>
      <c r="H46" s="388" t="n"/>
      <c r="I46" s="392">
        <f>IFERROR(IF($C46="UV",IF($D46="S+ liner",$G46*INDEX(Prijzen!$C$15:$P$70,MATCH($E46,Prijzen!$B$15:$B$70,0),MATCH($F46,Prijzen!$C$14:$O$14,0))*0.58,IF($D46="M liner",$G46*INDEX(Prijzen!$C$2:$P$11,MATCH($E46,Prijzen!$B$2:$B$11,0),MATCH($F46,Prijzen!$C$1:$P$1,0))*0.58,0)),$G46*INDEX(Prijzen!$C$73:$P$94,MATCH($E46,Prijzen!$B$73:$B$94,0),MATCH($F46,Prijzen!$C$72:$P$72,0))),0)</f>
        <v/>
      </c>
      <c r="J46" s="401">
        <f>IF($H46="","nog te plannen",IFERROR(LOOKUP($H46,Periodetrend!$B$5:$B$17,Periodetrend!$A$5:$A$17),"vóór P1"))</f>
        <v/>
      </c>
    </row>
    <row r="47">
      <c r="A47" s="306" t="n"/>
      <c r="B47" s="388" t="n"/>
      <c r="C47" s="306" t="n"/>
      <c r="D47" s="306" t="n"/>
      <c r="E47" s="306" t="n"/>
      <c r="F47" s="306" t="n"/>
      <c r="G47" s="391" t="n"/>
      <c r="H47" s="388" t="n"/>
      <c r="I47" s="392">
        <f>IFERROR(IF($C47="UV",IF($D47="S+ liner",$G47*INDEX(Prijzen!$C$15:$P$70,MATCH($E47,Prijzen!$B$15:$B$70,0),MATCH($F47,Prijzen!$C$14:$O$14,0))*0.58,IF($D47="M liner",$G47*INDEX(Prijzen!$C$2:$P$11,MATCH($E47,Prijzen!$B$2:$B$11,0),MATCH($F47,Prijzen!$C$1:$P$1,0))*0.58,0)),$G47*INDEX(Prijzen!$C$73:$P$94,MATCH($E47,Prijzen!$B$73:$B$94,0),MATCH($F47,Prijzen!$C$72:$P$72,0))),0)</f>
        <v/>
      </c>
      <c r="J47" s="401">
        <f>IF($H47="","nog te plannen",IFERROR(LOOKUP($H47,Periodetrend!$B$5:$B$17,Periodetrend!$A$5:$A$17),"vóór P1"))</f>
        <v/>
      </c>
    </row>
    <row r="48">
      <c r="A48" s="306" t="n"/>
      <c r="B48" s="388" t="n"/>
      <c r="C48" s="306" t="n"/>
      <c r="D48" s="306" t="n"/>
      <c r="E48" s="306" t="n"/>
      <c r="F48" s="306" t="n"/>
      <c r="G48" s="391" t="n"/>
      <c r="H48" s="388" t="n"/>
      <c r="I48" s="392">
        <f>IFERROR(IF($C48="UV",IF($D48="S+ liner",$G48*INDEX(Prijzen!$C$15:$P$70,MATCH($E48,Prijzen!$B$15:$B$70,0),MATCH($F48,Prijzen!$C$14:$O$14,0))*0.58,IF($D48="M liner",$G48*INDEX(Prijzen!$C$2:$P$11,MATCH($E48,Prijzen!$B$2:$B$11,0),MATCH($F48,Prijzen!$C$1:$P$1,0))*0.58,0)),$G48*INDEX(Prijzen!$C$73:$P$94,MATCH($E48,Prijzen!$B$73:$B$94,0),MATCH($F48,Prijzen!$C$72:$P$72,0))),0)</f>
        <v/>
      </c>
      <c r="J48" s="401">
        <f>IF($H48="","nog te plannen",IFERROR(LOOKUP($H48,Periodetrend!$B$5:$B$17,Periodetrend!$A$5:$A$17),"vóór P1"))</f>
        <v/>
      </c>
    </row>
    <row r="49">
      <c r="A49" s="306" t="n"/>
      <c r="B49" s="388" t="n"/>
      <c r="C49" s="306" t="n"/>
      <c r="D49" s="306" t="n"/>
      <c r="E49" s="306" t="n"/>
      <c r="F49" s="306" t="n"/>
      <c r="G49" s="391" t="n"/>
      <c r="H49" s="388" t="n"/>
      <c r="I49" s="392">
        <f>IFERROR(IF($C49="UV",IF($D49="S+ liner",$G49*INDEX(Prijzen!$C$15:$P$70,MATCH($E49,Prijzen!$B$15:$B$70,0),MATCH($F49,Prijzen!$C$14:$O$14,0))*0.58,IF($D49="M liner",$G49*INDEX(Prijzen!$C$2:$P$11,MATCH($E49,Prijzen!$B$2:$B$11,0),MATCH($F49,Prijzen!$C$1:$P$1,0))*0.58,0)),$G49*INDEX(Prijzen!$C$73:$P$94,MATCH($E49,Prijzen!$B$73:$B$94,0),MATCH($F49,Prijzen!$C$72:$P$72,0))),0)</f>
        <v/>
      </c>
      <c r="J49" s="401">
        <f>IF($H49="","nog te plannen",IFERROR(LOOKUP($H49,Periodetrend!$B$5:$B$17,Periodetrend!$A$5:$A$17),"vóór P1"))</f>
        <v/>
      </c>
    </row>
    <row r="50">
      <c r="A50" s="306" t="n"/>
      <c r="B50" s="388" t="n"/>
      <c r="C50" s="306" t="n"/>
      <c r="D50" s="306" t="n"/>
      <c r="E50" s="306" t="n"/>
      <c r="F50" s="306" t="n"/>
      <c r="G50" s="391" t="n"/>
      <c r="H50" s="388" t="n"/>
      <c r="I50" s="392">
        <f>IFERROR(IF($C50="UV",IF($D50="S+ liner",$G50*INDEX(Prijzen!$C$15:$P$70,MATCH($E50,Prijzen!$B$15:$B$70,0),MATCH($F50,Prijzen!$C$14:$O$14,0))*0.58,IF($D50="M liner",$G50*INDEX(Prijzen!$C$2:$P$11,MATCH($E50,Prijzen!$B$2:$B$11,0),MATCH($F50,Prijzen!$C$1:$P$1,0))*0.58,0)),$G50*INDEX(Prijzen!$C$73:$P$94,MATCH($E50,Prijzen!$B$73:$B$94,0),MATCH($F50,Prijzen!$C$72:$P$72,0))),0)</f>
        <v/>
      </c>
      <c r="J50" s="401">
        <f>IF($H50="","nog te plannen",IFERROR(LOOKUP($H50,Periodetrend!$B$5:$B$17,Periodetrend!$A$5:$A$17),"vóór P1"))</f>
        <v/>
      </c>
    </row>
    <row r="51">
      <c r="A51" s="306" t="n"/>
      <c r="B51" s="388" t="n"/>
      <c r="C51" s="306" t="n"/>
      <c r="D51" s="306" t="n"/>
      <c r="E51" s="306" t="n"/>
      <c r="F51" s="306" t="n"/>
      <c r="G51" s="391" t="n"/>
      <c r="H51" s="388" t="n"/>
      <c r="I51" s="392">
        <f>IFERROR(IF($C51="UV",IF($D51="S+ liner",$G51*INDEX(Prijzen!$C$15:$P$70,MATCH($E51,Prijzen!$B$15:$B$70,0),MATCH($F51,Prijzen!$C$14:$O$14,0))*0.58,IF($D51="M liner",$G51*INDEX(Prijzen!$C$2:$P$11,MATCH($E51,Prijzen!$B$2:$B$11,0),MATCH($F51,Prijzen!$C$1:$P$1,0))*0.58,0)),$G51*INDEX(Prijzen!$C$73:$P$94,MATCH($E51,Prijzen!$B$73:$B$94,0),MATCH($F51,Prijzen!$C$72:$P$72,0))),0)</f>
        <v/>
      </c>
      <c r="J51" s="401">
        <f>IF($H51="","nog te plannen",IFERROR(LOOKUP($H51,Periodetrend!$B$5:$B$17,Periodetrend!$A$5:$A$17),"vóór P1"))</f>
        <v/>
      </c>
    </row>
    <row r="52">
      <c r="A52" s="306" t="n"/>
      <c r="B52" s="388" t="n"/>
      <c r="C52" s="306" t="n"/>
      <c r="D52" s="306" t="n"/>
      <c r="E52" s="306" t="n"/>
      <c r="F52" s="306" t="n"/>
      <c r="G52" s="391" t="n"/>
      <c r="H52" s="388" t="n"/>
      <c r="I52" s="392">
        <f>IFERROR(IF($C52="UV",IF($D52="S+ liner",$G52*INDEX(Prijzen!$C$15:$P$70,MATCH($E52,Prijzen!$B$15:$B$70,0),MATCH($F52,Prijzen!$C$14:$O$14,0))*0.58,IF($D52="M liner",$G52*INDEX(Prijzen!$C$2:$P$11,MATCH($E52,Prijzen!$B$2:$B$11,0),MATCH($F52,Prijzen!$C$1:$P$1,0))*0.58,0)),$G52*INDEX(Prijzen!$C$73:$P$94,MATCH($E52,Prijzen!$B$73:$B$94,0),MATCH($F52,Prijzen!$C$72:$P$72,0))),0)</f>
        <v/>
      </c>
      <c r="J52" s="401">
        <f>IF($H52="","nog te plannen",IFERROR(LOOKUP($H52,Periodetrend!$B$5:$B$17,Periodetrend!$A$5:$A$17),"vóór P1"))</f>
        <v/>
      </c>
    </row>
    <row r="53">
      <c r="A53" s="306" t="n"/>
      <c r="B53" s="388" t="n"/>
      <c r="C53" s="306" t="n"/>
      <c r="D53" s="306" t="n"/>
      <c r="E53" s="306" t="n"/>
      <c r="F53" s="306" t="n"/>
      <c r="G53" s="391" t="n"/>
      <c r="H53" s="388" t="n"/>
      <c r="I53" s="392">
        <f>IFERROR(IF($C53="UV",IF($D53="S+ liner",$G53*INDEX(Prijzen!$C$15:$P$70,MATCH($E53,Prijzen!$B$15:$B$70,0),MATCH($F53,Prijzen!$C$14:$O$14,0))*0.58,IF($D53="M liner",$G53*INDEX(Prijzen!$C$2:$P$11,MATCH($E53,Prijzen!$B$2:$B$11,0),MATCH($F53,Prijzen!$C$1:$P$1,0))*0.58,0)),$G53*INDEX(Prijzen!$C$73:$P$94,MATCH($E53,Prijzen!$B$73:$B$94,0),MATCH($F53,Prijzen!$C$72:$P$72,0))),0)</f>
        <v/>
      </c>
      <c r="J53" s="401">
        <f>IF($H53="","nog te plannen",IFERROR(LOOKUP($H53,Periodetrend!$B$5:$B$17,Periodetrend!$A$5:$A$17),"vóór P1"))</f>
        <v/>
      </c>
    </row>
    <row r="54">
      <c r="A54" s="306" t="n"/>
      <c r="B54" s="388" t="n"/>
      <c r="C54" s="306" t="n"/>
      <c r="D54" s="306" t="n"/>
      <c r="E54" s="306" t="n"/>
      <c r="F54" s="306" t="n"/>
      <c r="G54" s="391" t="n"/>
      <c r="H54" s="388" t="n"/>
      <c r="I54" s="392">
        <f>IFERROR(IF($C54="UV",IF($D54="S+ liner",$G54*INDEX(Prijzen!$C$15:$P$70,MATCH($E54,Prijzen!$B$15:$B$70,0),MATCH($F54,Prijzen!$C$14:$O$14,0))*0.58,IF($D54="M liner",$G54*INDEX(Prijzen!$C$2:$P$11,MATCH($E54,Prijzen!$B$2:$B$11,0),MATCH($F54,Prijzen!$C$1:$P$1,0))*0.58,0)),$G54*INDEX(Prijzen!$C$73:$P$94,MATCH($E54,Prijzen!$B$73:$B$94,0),MATCH($F54,Prijzen!$C$72:$P$72,0))),0)</f>
        <v/>
      </c>
      <c r="J54" s="401">
        <f>IF($H54="","nog te plannen",IFERROR(LOOKUP($H54,Periodetrend!$B$5:$B$17,Periodetrend!$A$5:$A$17),"vóór P1"))</f>
        <v/>
      </c>
    </row>
    <row r="55">
      <c r="A55" s="306" t="n"/>
      <c r="B55" s="388" t="n"/>
      <c r="C55" s="306" t="n"/>
      <c r="D55" s="306" t="n"/>
      <c r="E55" s="306" t="n"/>
      <c r="F55" s="306" t="n"/>
      <c r="G55" s="391" t="n"/>
      <c r="H55" s="388" t="n"/>
      <c r="I55" s="392">
        <f>IFERROR(IF($C55="UV",IF($D55="S+ liner",$G55*INDEX(Prijzen!$C$15:$P$70,MATCH($E55,Prijzen!$B$15:$B$70,0),MATCH($F55,Prijzen!$C$14:$O$14,0))*0.58,IF($D55="M liner",$G55*INDEX(Prijzen!$C$2:$P$11,MATCH($E55,Prijzen!$B$2:$B$11,0),MATCH($F55,Prijzen!$C$1:$P$1,0))*0.58,0)),$G55*INDEX(Prijzen!$C$73:$P$94,MATCH($E55,Prijzen!$B$73:$B$94,0),MATCH($F55,Prijzen!$C$72:$P$72,0))),0)</f>
        <v/>
      </c>
      <c r="J55" s="401">
        <f>IF($H55="","nog te plannen",IFERROR(LOOKUP($H55,Periodetrend!$B$5:$B$17,Periodetrend!$A$5:$A$17),"vóór P1"))</f>
        <v/>
      </c>
    </row>
    <row r="56">
      <c r="A56" s="306" t="n"/>
      <c r="B56" s="388" t="n"/>
      <c r="C56" s="306" t="n"/>
      <c r="D56" s="306" t="n"/>
      <c r="E56" s="306" t="n"/>
      <c r="F56" s="306" t="n"/>
      <c r="G56" s="391" t="n"/>
      <c r="H56" s="388" t="n"/>
      <c r="I56" s="392">
        <f>IFERROR(IF($C56="UV",IF($D56="S+ liner",$G56*INDEX(Prijzen!$C$15:$P$70,MATCH($E56,Prijzen!$B$15:$B$70,0),MATCH($F56,Prijzen!$C$14:$O$14,0))*0.58,IF($D56="M liner",$G56*INDEX(Prijzen!$C$2:$P$11,MATCH($E56,Prijzen!$B$2:$B$11,0),MATCH($F56,Prijzen!$C$1:$P$1,0))*0.58,0)),$G56*INDEX(Prijzen!$C$73:$P$94,MATCH($E56,Prijzen!$B$73:$B$94,0),MATCH($F56,Prijzen!$C$72:$P$72,0))),0)</f>
        <v/>
      </c>
      <c r="J56" s="401">
        <f>IF($H56="","nog te plannen",IFERROR(LOOKUP($H56,Periodetrend!$B$5:$B$17,Periodetrend!$A$5:$A$17),"vóór P1"))</f>
        <v/>
      </c>
    </row>
    <row r="57">
      <c r="A57" s="306" t="n"/>
      <c r="B57" s="388" t="n"/>
      <c r="C57" s="306" t="n"/>
      <c r="D57" s="306" t="n"/>
      <c r="E57" s="306" t="n"/>
      <c r="F57" s="306" t="n"/>
      <c r="G57" s="391" t="n"/>
      <c r="H57" s="388" t="n"/>
      <c r="I57" s="392">
        <f>IFERROR(IF($C57="UV",IF($D57="S+ liner",$G57*INDEX(Prijzen!$C$15:$P$70,MATCH($E57,Prijzen!$B$15:$B$70,0),MATCH($F57,Prijzen!$C$14:$O$14,0))*0.58,IF($D57="M liner",$G57*INDEX(Prijzen!$C$2:$P$11,MATCH($E57,Prijzen!$B$2:$B$11,0),MATCH($F57,Prijzen!$C$1:$P$1,0))*0.58,0)),$G57*INDEX(Prijzen!$C$73:$P$94,MATCH($E57,Prijzen!$B$73:$B$94,0),MATCH($F57,Prijzen!$C$72:$P$72,0))),0)</f>
        <v/>
      </c>
      <c r="J57" s="401">
        <f>IF($H57="","nog te plannen",IFERROR(LOOKUP($H57,Periodetrend!$B$5:$B$17,Periodetrend!$A$5:$A$17),"vóór P1"))</f>
        <v/>
      </c>
    </row>
    <row r="58">
      <c r="A58" s="306" t="n"/>
      <c r="B58" s="388" t="n"/>
      <c r="C58" s="306" t="n"/>
      <c r="D58" s="306" t="n"/>
      <c r="E58" s="306" t="n"/>
      <c r="F58" s="306" t="n"/>
      <c r="G58" s="391" t="n"/>
      <c r="H58" s="388" t="n"/>
      <c r="I58" s="392">
        <f>IFERROR(IF($C58="UV",IF($D58="S+ liner",$G58*INDEX(Prijzen!$C$15:$P$70,MATCH($E58,Prijzen!$B$15:$B$70,0),MATCH($F58,Prijzen!$C$14:$O$14,0))*0.58,IF($D58="M liner",$G58*INDEX(Prijzen!$C$2:$P$11,MATCH($E58,Prijzen!$B$2:$B$11,0),MATCH($F58,Prijzen!$C$1:$P$1,0))*0.58,0)),$G58*INDEX(Prijzen!$C$73:$P$94,MATCH($E58,Prijzen!$B$73:$B$94,0),MATCH($F58,Prijzen!$C$72:$P$72,0))),0)</f>
        <v/>
      </c>
      <c r="J58" s="401">
        <f>IF($H58="","nog te plannen",IFERROR(LOOKUP($H58,Periodetrend!$B$5:$B$17,Periodetrend!$A$5:$A$17),"vóór P1"))</f>
        <v/>
      </c>
    </row>
    <row r="59">
      <c r="A59" s="306" t="n"/>
      <c r="B59" s="388" t="n"/>
      <c r="C59" s="306" t="n"/>
      <c r="D59" s="306" t="n"/>
      <c r="E59" s="306" t="n"/>
      <c r="F59" s="306" t="n"/>
      <c r="G59" s="391" t="n"/>
      <c r="H59" s="388" t="n"/>
      <c r="I59" s="392">
        <f>IFERROR(IF($C59="UV",IF($D59="S+ liner",$G59*INDEX(Prijzen!$C$15:$P$70,MATCH($E59,Prijzen!$B$15:$B$70,0),MATCH($F59,Prijzen!$C$14:$O$14,0))*0.58,IF($D59="M liner",$G59*INDEX(Prijzen!$C$2:$P$11,MATCH($E59,Prijzen!$B$2:$B$11,0),MATCH($F59,Prijzen!$C$1:$P$1,0))*0.58,0)),$G59*INDEX(Prijzen!$C$73:$P$94,MATCH($E59,Prijzen!$B$73:$B$94,0),MATCH($F59,Prijzen!$C$72:$P$72,0))),0)</f>
        <v/>
      </c>
      <c r="J59" s="401">
        <f>IF($H59="","nog te plannen",IFERROR(LOOKUP($H59,Periodetrend!$B$5:$B$17,Periodetrend!$A$5:$A$17),"vóór P1"))</f>
        <v/>
      </c>
    </row>
    <row r="60">
      <c r="A60" s="306" t="n"/>
      <c r="B60" s="388" t="n"/>
      <c r="C60" s="306" t="n"/>
      <c r="D60" s="306" t="n"/>
      <c r="E60" s="306" t="n"/>
      <c r="F60" s="306" t="n"/>
      <c r="G60" s="391" t="n"/>
      <c r="H60" s="388" t="n"/>
      <c r="I60" s="392">
        <f>IFERROR(IF($C60="UV",IF($D60="S+ liner",$G60*INDEX(Prijzen!$C$15:$P$70,MATCH($E60,Prijzen!$B$15:$B$70,0),MATCH($F60,Prijzen!$C$14:$O$14,0))*0.58,IF($D60="M liner",$G60*INDEX(Prijzen!$C$2:$P$11,MATCH($E60,Prijzen!$B$2:$B$11,0),MATCH($F60,Prijzen!$C$1:$P$1,0))*0.58,0)),$G60*INDEX(Prijzen!$C$73:$P$94,MATCH($E60,Prijzen!$B$73:$B$94,0),MATCH($F60,Prijzen!$C$72:$P$72,0))),0)</f>
        <v/>
      </c>
      <c r="J60" s="401">
        <f>IF($H60="","nog te plannen",IFERROR(LOOKUP($H60,Periodetrend!$B$5:$B$17,Periodetrend!$A$5:$A$17),"vóór P1"))</f>
        <v/>
      </c>
    </row>
    <row r="61">
      <c r="A61" s="306" t="n"/>
      <c r="B61" s="388" t="n"/>
      <c r="C61" s="306" t="n"/>
      <c r="D61" s="306" t="n"/>
      <c r="E61" s="306" t="n"/>
      <c r="F61" s="306" t="n"/>
      <c r="G61" s="391" t="n"/>
      <c r="H61" s="388" t="n"/>
      <c r="I61" s="392">
        <f>IFERROR(IF($C61="UV",IF($D61="S+ liner",$G61*INDEX(Prijzen!$C$15:$P$70,MATCH($E61,Prijzen!$B$15:$B$70,0),MATCH($F61,Prijzen!$C$14:$O$14,0))*0.58,IF($D61="M liner",$G61*INDEX(Prijzen!$C$2:$P$11,MATCH($E61,Prijzen!$B$2:$B$11,0),MATCH($F61,Prijzen!$C$1:$P$1,0))*0.58,0)),$G61*INDEX(Prijzen!$C$73:$P$94,MATCH($E61,Prijzen!$B$73:$B$94,0),MATCH($F61,Prijzen!$C$72:$P$72,0))),0)</f>
        <v/>
      </c>
      <c r="J61" s="401">
        <f>IF($H61="","nog te plannen",IFERROR(LOOKUP($H61,Periodetrend!$B$5:$B$17,Periodetrend!$A$5:$A$17),"vóór P1"))</f>
        <v/>
      </c>
    </row>
    <row r="62">
      <c r="A62" s="306" t="n"/>
      <c r="B62" s="388" t="n"/>
      <c r="C62" s="306" t="n"/>
      <c r="D62" s="306" t="n"/>
      <c r="E62" s="306" t="n"/>
      <c r="F62" s="306" t="n"/>
      <c r="G62" s="391" t="n"/>
      <c r="H62" s="388" t="n"/>
      <c r="I62" s="392">
        <f>IFERROR(IF($C62="UV",IF($D62="S+ liner",$G62*INDEX(Prijzen!$C$15:$P$70,MATCH($E62,Prijzen!$B$15:$B$70,0),MATCH($F62,Prijzen!$C$14:$O$14,0))*0.58,IF($D62="M liner",$G62*INDEX(Prijzen!$C$2:$P$11,MATCH($E62,Prijzen!$B$2:$B$11,0),MATCH($F62,Prijzen!$C$1:$P$1,0))*0.58,0)),$G62*INDEX(Prijzen!$C$73:$P$94,MATCH($E62,Prijzen!$B$73:$B$94,0),MATCH($F62,Prijzen!$C$72:$P$72,0))),0)</f>
        <v/>
      </c>
      <c r="J62" s="401">
        <f>IF($H62="","nog te plannen",IFERROR(LOOKUP($H62,Periodetrend!$B$5:$B$17,Periodetrend!$A$5:$A$17),"vóór P1"))</f>
        <v/>
      </c>
    </row>
    <row r="63">
      <c r="A63" s="306" t="n"/>
      <c r="B63" s="388" t="n"/>
      <c r="C63" s="306" t="n"/>
      <c r="D63" s="306" t="n"/>
      <c r="E63" s="306" t="n"/>
      <c r="F63" s="306" t="n"/>
      <c r="G63" s="391" t="n"/>
      <c r="H63" s="388" t="n"/>
      <c r="I63" s="392">
        <f>IFERROR(IF($C63="UV",IF($D63="S+ liner",$G63*INDEX(Prijzen!$C$15:$P$70,MATCH($E63,Prijzen!$B$15:$B$70,0),MATCH($F63,Prijzen!$C$14:$O$14,0))*0.58,IF($D63="M liner",$G63*INDEX(Prijzen!$C$2:$P$11,MATCH($E63,Prijzen!$B$2:$B$11,0),MATCH($F63,Prijzen!$C$1:$P$1,0))*0.58,0)),$G63*INDEX(Prijzen!$C$73:$P$94,MATCH($E63,Prijzen!$B$73:$B$94,0),MATCH($F63,Prijzen!$C$72:$P$72,0))),0)</f>
        <v/>
      </c>
      <c r="J63" s="401">
        <f>IF($H63="","nog te plannen",IFERROR(LOOKUP($H63,Periodetrend!$B$5:$B$17,Periodetrend!$A$5:$A$17),"vóór P1"))</f>
        <v/>
      </c>
    </row>
    <row r="64">
      <c r="A64" s="306" t="n"/>
      <c r="B64" s="388" t="n"/>
      <c r="C64" s="306" t="n"/>
      <c r="D64" s="306" t="n"/>
      <c r="E64" s="306" t="n"/>
      <c r="F64" s="306" t="n"/>
      <c r="G64" s="391" t="n"/>
      <c r="H64" s="388" t="n"/>
      <c r="I64" s="392">
        <f>IFERROR(IF($C64="UV",IF($D64="S+ liner",$G64*INDEX(Prijzen!$C$15:$P$70,MATCH($E64,Prijzen!$B$15:$B$70,0),MATCH($F64,Prijzen!$C$14:$O$14,0))*0.58,IF($D64="M liner",$G64*INDEX(Prijzen!$C$2:$P$11,MATCH($E64,Prijzen!$B$2:$B$11,0),MATCH($F64,Prijzen!$C$1:$P$1,0))*0.58,0)),$G64*INDEX(Prijzen!$C$73:$P$94,MATCH($E64,Prijzen!$B$73:$B$94,0),MATCH($F64,Prijzen!$C$72:$P$72,0))),0)</f>
        <v/>
      </c>
      <c r="J64" s="401">
        <f>IF($H64="","nog te plannen",IFERROR(LOOKUP($H64,Periodetrend!$B$5:$B$17,Periodetrend!$A$5:$A$17),"vóór P1"))</f>
        <v/>
      </c>
    </row>
    <row r="65">
      <c r="A65" s="306" t="n"/>
      <c r="B65" s="388" t="n"/>
      <c r="C65" s="306" t="n"/>
      <c r="D65" s="306" t="n"/>
      <c r="E65" s="306" t="n"/>
      <c r="F65" s="306" t="n"/>
      <c r="G65" s="391" t="n"/>
      <c r="H65" s="388" t="n"/>
      <c r="I65" s="392">
        <f>IFERROR(IF($C65="UV",IF($D65="S+ liner",$G65*INDEX(Prijzen!$C$15:$P$70,MATCH($E65,Prijzen!$B$15:$B$70,0),MATCH($F65,Prijzen!$C$14:$O$14,0))*0.58,IF($D65="M liner",$G65*INDEX(Prijzen!$C$2:$P$11,MATCH($E65,Prijzen!$B$2:$B$11,0),MATCH($F65,Prijzen!$C$1:$P$1,0))*0.58,0)),$G65*INDEX(Prijzen!$C$73:$P$94,MATCH($E65,Prijzen!$B$73:$B$94,0),MATCH($F65,Prijzen!$C$72:$P$72,0))),0)</f>
        <v/>
      </c>
      <c r="J65" s="401">
        <f>IF($H65="","nog te plannen",IFERROR(LOOKUP($H65,Periodetrend!$B$5:$B$17,Periodetrend!$A$5:$A$17),"vóór P1"))</f>
        <v/>
      </c>
    </row>
    <row r="66">
      <c r="A66" s="306" t="n"/>
      <c r="B66" s="388" t="n"/>
      <c r="C66" s="306" t="n"/>
      <c r="D66" s="306" t="n"/>
      <c r="E66" s="306" t="n"/>
      <c r="F66" s="306" t="n"/>
      <c r="G66" s="391" t="n"/>
      <c r="H66" s="388" t="n"/>
      <c r="I66" s="392">
        <f>IFERROR(IF($C66="UV",IF($D66="S+ liner",$G66*INDEX(Prijzen!$C$15:$P$70,MATCH($E66,Prijzen!$B$15:$B$70,0),MATCH($F66,Prijzen!$C$14:$O$14,0))*0.58,IF($D66="M liner",$G66*INDEX(Prijzen!$C$2:$P$11,MATCH($E66,Prijzen!$B$2:$B$11,0),MATCH($F66,Prijzen!$C$1:$P$1,0))*0.58,0)),$G66*INDEX(Prijzen!$C$73:$P$94,MATCH($E66,Prijzen!$B$73:$B$94,0),MATCH($F66,Prijzen!$C$72:$P$72,0))),0)</f>
        <v/>
      </c>
      <c r="J66" s="401">
        <f>IF($H66="","nog te plannen",IFERROR(LOOKUP($H66,Periodetrend!$B$5:$B$17,Periodetrend!$A$5:$A$17),"vóór P1"))</f>
        <v/>
      </c>
    </row>
    <row r="67">
      <c r="A67" s="306" t="n"/>
      <c r="B67" s="388" t="n"/>
      <c r="C67" s="306" t="n"/>
      <c r="D67" s="306" t="n"/>
      <c r="E67" s="306" t="n"/>
      <c r="F67" s="306" t="n"/>
      <c r="G67" s="391" t="n"/>
      <c r="H67" s="388" t="n"/>
      <c r="I67" s="392">
        <f>IFERROR(IF($C67="UV",IF($D67="S+ liner",$G67*INDEX(Prijzen!$C$15:$P$70,MATCH($E67,Prijzen!$B$15:$B$70,0),MATCH($F67,Prijzen!$C$14:$O$14,0))*0.58,IF($D67="M liner",$G67*INDEX(Prijzen!$C$2:$P$11,MATCH($E67,Prijzen!$B$2:$B$11,0),MATCH($F67,Prijzen!$C$1:$P$1,0))*0.58,0)),$G67*INDEX(Prijzen!$C$73:$P$94,MATCH($E67,Prijzen!$B$73:$B$94,0),MATCH($F67,Prijzen!$C$72:$P$72,0))),0)</f>
        <v/>
      </c>
      <c r="J67" s="401">
        <f>IF($H67="","nog te plannen",IFERROR(LOOKUP($H67,Periodetrend!$B$5:$B$17,Periodetrend!$A$5:$A$17),"vóór P1"))</f>
        <v/>
      </c>
    </row>
    <row r="68">
      <c r="A68" s="306" t="n"/>
      <c r="B68" s="388" t="n"/>
      <c r="C68" s="306" t="n"/>
      <c r="D68" s="306" t="n"/>
      <c r="E68" s="306" t="n"/>
      <c r="F68" s="306" t="n"/>
      <c r="G68" s="391" t="n"/>
      <c r="H68" s="388" t="n"/>
      <c r="I68" s="392">
        <f>IFERROR(IF($C68="UV",IF($D68="S+ liner",$G68*INDEX(Prijzen!$C$15:$P$70,MATCH($E68,Prijzen!$B$15:$B$70,0),MATCH($F68,Prijzen!$C$14:$O$14,0))*0.58,IF($D68="M liner",$G68*INDEX(Prijzen!$C$2:$P$11,MATCH($E68,Prijzen!$B$2:$B$11,0),MATCH($F68,Prijzen!$C$1:$P$1,0))*0.58,0)),$G68*INDEX(Prijzen!$C$73:$P$94,MATCH($E68,Prijzen!$B$73:$B$94,0),MATCH($F68,Prijzen!$C$72:$P$72,0))),0)</f>
        <v/>
      </c>
      <c r="J68" s="401">
        <f>IF($H68="","nog te plannen",IFERROR(LOOKUP($H68,Periodetrend!$B$5:$B$17,Periodetrend!$A$5:$A$17),"vóór P1"))</f>
        <v/>
      </c>
    </row>
    <row r="69">
      <c r="A69" s="306" t="n"/>
      <c r="B69" s="388" t="n"/>
      <c r="C69" s="306" t="n"/>
      <c r="D69" s="306" t="n"/>
      <c r="E69" s="306" t="n"/>
      <c r="F69" s="306" t="n"/>
      <c r="G69" s="391" t="n"/>
      <c r="H69" s="388" t="n"/>
      <c r="I69" s="392">
        <f>IFERROR(IF($C69="UV",IF($D69="S+ liner",$G69*INDEX(Prijzen!$C$15:$P$70,MATCH($E69,Prijzen!$B$15:$B$70,0),MATCH($F69,Prijzen!$C$14:$O$14,0))*0.58,IF($D69="M liner",$G69*INDEX(Prijzen!$C$2:$P$11,MATCH($E69,Prijzen!$B$2:$B$11,0),MATCH($F69,Prijzen!$C$1:$P$1,0))*0.58,0)),$G69*INDEX(Prijzen!$C$73:$P$94,MATCH($E69,Prijzen!$B$73:$B$94,0),MATCH($F69,Prijzen!$C$72:$P$72,0))),0)</f>
        <v/>
      </c>
      <c r="J69" s="401">
        <f>IF($H69="","nog te plannen",IFERROR(LOOKUP($H69,Periodetrend!$B$5:$B$17,Periodetrend!$A$5:$A$17),"vóór P1"))</f>
        <v/>
      </c>
    </row>
    <row r="70">
      <c r="A70" s="306" t="n"/>
      <c r="B70" s="388" t="n"/>
      <c r="C70" s="306" t="n"/>
      <c r="D70" s="306" t="n"/>
      <c r="E70" s="306" t="n"/>
      <c r="F70" s="306" t="n"/>
      <c r="G70" s="391" t="n"/>
      <c r="H70" s="388" t="n"/>
      <c r="I70" s="392">
        <f>IFERROR(IF($C70="UV",IF($D70="S+ liner",$G70*INDEX(Prijzen!$C$15:$P$70,MATCH($E70,Prijzen!$B$15:$B$70,0),MATCH($F70,Prijzen!$C$14:$O$14,0))*0.58,IF($D70="M liner",$G70*INDEX(Prijzen!$C$2:$P$11,MATCH($E70,Prijzen!$B$2:$B$11,0),MATCH($F70,Prijzen!$C$1:$P$1,0))*0.58,0)),$G70*INDEX(Prijzen!$C$73:$P$94,MATCH($E70,Prijzen!$B$73:$B$94,0),MATCH($F70,Prijzen!$C$72:$P$72,0))),0)</f>
        <v/>
      </c>
      <c r="J70" s="401">
        <f>IF($H70="","nog te plannen",IFERROR(LOOKUP($H70,Periodetrend!$B$5:$B$17,Periodetrend!$A$5:$A$17),"vóór P1"))</f>
        <v/>
      </c>
    </row>
    <row r="71">
      <c r="A71" s="306" t="n"/>
      <c r="B71" s="388" t="n"/>
      <c r="C71" s="306" t="n"/>
      <c r="D71" s="306" t="n"/>
      <c r="E71" s="306" t="n"/>
      <c r="F71" s="306" t="n"/>
      <c r="G71" s="391" t="n"/>
      <c r="H71" s="388" t="n"/>
      <c r="I71" s="392">
        <f>IFERROR(IF($C71="UV",IF($D71="S+ liner",$G71*INDEX(Prijzen!$C$15:$P$70,MATCH($E71,Prijzen!$B$15:$B$70,0),MATCH($F71,Prijzen!$C$14:$O$14,0))*0.58,IF($D71="M liner",$G71*INDEX(Prijzen!$C$2:$P$11,MATCH($E71,Prijzen!$B$2:$B$11,0),MATCH($F71,Prijzen!$C$1:$P$1,0))*0.58,0)),$G71*INDEX(Prijzen!$C$73:$P$94,MATCH($E71,Prijzen!$B$73:$B$94,0),MATCH($F71,Prijzen!$C$72:$P$72,0))),0)</f>
        <v/>
      </c>
      <c r="J71" s="401">
        <f>IF($H71="","nog te plannen",IFERROR(LOOKUP($H71,Periodetrend!$B$5:$B$17,Periodetrend!$A$5:$A$17),"vóór P1"))</f>
        <v/>
      </c>
    </row>
    <row r="72">
      <c r="A72" s="306" t="n"/>
      <c r="B72" s="388" t="n"/>
      <c r="C72" s="306" t="n"/>
      <c r="D72" s="306" t="n"/>
      <c r="E72" s="306" t="n"/>
      <c r="F72" s="306" t="n"/>
      <c r="G72" s="391" t="n"/>
      <c r="H72" s="388" t="n"/>
      <c r="I72" s="392">
        <f>IFERROR(IF($C72="UV",IF($D72="S+ liner",$G72*INDEX(Prijzen!$C$15:$P$70,MATCH($E72,Prijzen!$B$15:$B$70,0),MATCH($F72,Prijzen!$C$14:$O$14,0))*0.58,IF($D72="M liner",$G72*INDEX(Prijzen!$C$2:$P$11,MATCH($E72,Prijzen!$B$2:$B$11,0),MATCH($F72,Prijzen!$C$1:$P$1,0))*0.58,0)),$G72*INDEX(Prijzen!$C$73:$P$94,MATCH($E72,Prijzen!$B$73:$B$94,0),MATCH($F72,Prijzen!$C$72:$P$72,0))),0)</f>
        <v/>
      </c>
      <c r="J72" s="401">
        <f>IF($H72="","nog te plannen",IFERROR(LOOKUP($H72,Periodetrend!$B$5:$B$17,Periodetrend!$A$5:$A$17),"vóór P1"))</f>
        <v/>
      </c>
    </row>
    <row r="73">
      <c r="A73" s="306" t="n"/>
      <c r="B73" s="388" t="n"/>
      <c r="C73" s="306" t="n"/>
      <c r="D73" s="306" t="n"/>
      <c r="E73" s="306" t="n"/>
      <c r="F73" s="306" t="n"/>
      <c r="G73" s="391" t="n"/>
      <c r="H73" s="388" t="n"/>
      <c r="I73" s="392">
        <f>IFERROR(IF($C73="UV",IF($D73="S+ liner",$G73*INDEX(Prijzen!$C$15:$P$70,MATCH($E73,Prijzen!$B$15:$B$70,0),MATCH($F73,Prijzen!$C$14:$O$14,0))*0.58,IF($D73="M liner",$G73*INDEX(Prijzen!$C$2:$P$11,MATCH($E73,Prijzen!$B$2:$B$11,0),MATCH($F73,Prijzen!$C$1:$P$1,0))*0.58,0)),$G73*INDEX(Prijzen!$C$73:$P$94,MATCH($E73,Prijzen!$B$73:$B$94,0),MATCH($F73,Prijzen!$C$72:$P$72,0))),0)</f>
        <v/>
      </c>
      <c r="J73" s="401">
        <f>IF($H73="","nog te plannen",IFERROR(LOOKUP($H73,Periodetrend!$B$5:$B$17,Periodetrend!$A$5:$A$17),"vóór P1"))</f>
        <v/>
      </c>
    </row>
    <row r="74">
      <c r="A74" s="306" t="n"/>
      <c r="B74" s="388" t="n"/>
      <c r="C74" s="306" t="n"/>
      <c r="D74" s="306" t="n"/>
      <c r="E74" s="306" t="n"/>
      <c r="F74" s="306" t="n"/>
      <c r="G74" s="391" t="n"/>
      <c r="H74" s="388" t="n"/>
      <c r="I74" s="392">
        <f>IFERROR(IF($C74="UV",IF($D74="S+ liner",$G74*INDEX(Prijzen!$C$15:$P$70,MATCH($E74,Prijzen!$B$15:$B$70,0),MATCH($F74,Prijzen!$C$14:$O$14,0))*0.58,IF($D74="M liner",$G74*INDEX(Prijzen!$C$2:$P$11,MATCH($E74,Prijzen!$B$2:$B$11,0),MATCH($F74,Prijzen!$C$1:$P$1,0))*0.58,0)),$G74*INDEX(Prijzen!$C$73:$P$94,MATCH($E74,Prijzen!$B$73:$B$94,0),MATCH($F74,Prijzen!$C$72:$P$72,0))),0)</f>
        <v/>
      </c>
      <c r="J74" s="401">
        <f>IF($H74="","nog te plannen",IFERROR(LOOKUP($H74,Periodetrend!$B$5:$B$17,Periodetrend!$A$5:$A$17),"vóór P1"))</f>
        <v/>
      </c>
    </row>
    <row r="75">
      <c r="A75" s="306" t="n"/>
      <c r="B75" s="388" t="n"/>
      <c r="C75" s="306" t="n"/>
      <c r="D75" s="306" t="n"/>
      <c r="E75" s="306" t="n"/>
      <c r="F75" s="306" t="n"/>
      <c r="G75" s="391" t="n"/>
      <c r="H75" s="388" t="n"/>
      <c r="I75" s="392">
        <f>IFERROR(IF($C75="UV",IF($D75="S+ liner",$G75*INDEX(Prijzen!$C$15:$P$70,MATCH($E75,Prijzen!$B$15:$B$70,0),MATCH($F75,Prijzen!$C$14:$O$14,0))*0.58,IF($D75="M liner",$G75*INDEX(Prijzen!$C$2:$P$11,MATCH($E75,Prijzen!$B$2:$B$11,0),MATCH($F75,Prijzen!$C$1:$P$1,0))*0.58,0)),$G75*INDEX(Prijzen!$C$73:$P$94,MATCH($E75,Prijzen!$B$73:$B$94,0),MATCH($F75,Prijzen!$C$72:$P$72,0))),0)</f>
        <v/>
      </c>
      <c r="J75" s="401">
        <f>IF($H75="","nog te plannen",IFERROR(LOOKUP($H75,Periodetrend!$B$5:$B$17,Periodetrend!$A$5:$A$17),"vóór P1"))</f>
        <v/>
      </c>
    </row>
    <row r="76">
      <c r="A76" s="306" t="n"/>
      <c r="B76" s="388" t="n"/>
      <c r="C76" s="306" t="n"/>
      <c r="D76" s="306" t="n"/>
      <c r="E76" s="306" t="n"/>
      <c r="F76" s="306" t="n"/>
      <c r="G76" s="391" t="n"/>
      <c r="H76" s="388" t="n"/>
      <c r="I76" s="392">
        <f>IFERROR(IF($C76="UV",IF($D76="S+ liner",$G76*INDEX(Prijzen!$C$15:$P$70,MATCH($E76,Prijzen!$B$15:$B$70,0),MATCH($F76,Prijzen!$C$14:$O$14,0))*0.58,IF($D76="M liner",$G76*INDEX(Prijzen!$C$2:$P$11,MATCH($E76,Prijzen!$B$2:$B$11,0),MATCH($F76,Prijzen!$C$1:$P$1,0))*0.58,0)),$G76*INDEX(Prijzen!$C$73:$P$94,MATCH($E76,Prijzen!$B$73:$B$94,0),MATCH($F76,Prijzen!$C$72:$P$72,0))),0)</f>
        <v/>
      </c>
      <c r="J76" s="401">
        <f>IF($H76="","nog te plannen",IFERROR(LOOKUP($H76,Periodetrend!$B$5:$B$17,Periodetrend!$A$5:$A$17),"vóór P1"))</f>
        <v/>
      </c>
    </row>
    <row r="77">
      <c r="A77" s="306" t="n"/>
      <c r="B77" s="388" t="n"/>
      <c r="C77" s="306" t="n"/>
      <c r="D77" s="306" t="n"/>
      <c r="E77" s="306" t="n"/>
      <c r="F77" s="306" t="n"/>
      <c r="G77" s="391" t="n"/>
      <c r="H77" s="388" t="n"/>
      <c r="I77" s="392">
        <f>IFERROR(IF($C77="UV",IF($D77="S+ liner",$G77*INDEX(Prijzen!$C$15:$P$70,MATCH($E77,Prijzen!$B$15:$B$70,0),MATCH($F77,Prijzen!$C$14:$O$14,0))*0.58,IF($D77="M liner",$G77*INDEX(Prijzen!$C$2:$P$11,MATCH($E77,Prijzen!$B$2:$B$11,0),MATCH($F77,Prijzen!$C$1:$P$1,0))*0.58,0)),$G77*INDEX(Prijzen!$C$73:$P$94,MATCH($E77,Prijzen!$B$73:$B$94,0),MATCH($F77,Prijzen!$C$72:$P$72,0))),0)</f>
        <v/>
      </c>
      <c r="J77" s="401">
        <f>IF($H77="","nog te plannen",IFERROR(LOOKUP($H77,Periodetrend!$B$5:$B$17,Periodetrend!$A$5:$A$17),"vóór P1"))</f>
        <v/>
      </c>
    </row>
    <row r="78">
      <c r="A78" s="306" t="n"/>
      <c r="B78" s="388" t="n"/>
      <c r="C78" s="306" t="n"/>
      <c r="D78" s="306" t="n"/>
      <c r="E78" s="306" t="n"/>
      <c r="F78" s="306" t="n"/>
      <c r="G78" s="391" t="n"/>
      <c r="H78" s="388" t="n"/>
      <c r="I78" s="392">
        <f>IFERROR(IF($C78="UV",IF($D78="S+ liner",$G78*INDEX(Prijzen!$C$15:$P$70,MATCH($E78,Prijzen!$B$15:$B$70,0),MATCH($F78,Prijzen!$C$14:$O$14,0))*0.58,IF($D78="M liner",$G78*INDEX(Prijzen!$C$2:$P$11,MATCH($E78,Prijzen!$B$2:$B$11,0),MATCH($F78,Prijzen!$C$1:$P$1,0))*0.58,0)),$G78*INDEX(Prijzen!$C$73:$P$94,MATCH($E78,Prijzen!$B$73:$B$94,0),MATCH($F78,Prijzen!$C$72:$P$72,0))),0)</f>
        <v/>
      </c>
      <c r="J78" s="401">
        <f>IF($H78="","nog te plannen",IFERROR(LOOKUP($H78,Periodetrend!$B$5:$B$17,Periodetrend!$A$5:$A$17),"vóór P1"))</f>
        <v/>
      </c>
    </row>
    <row r="79">
      <c r="A79" s="306" t="n"/>
      <c r="B79" s="388" t="n"/>
      <c r="C79" s="306" t="n"/>
      <c r="D79" s="306" t="n"/>
      <c r="E79" s="306" t="n"/>
      <c r="F79" s="306" t="n"/>
      <c r="G79" s="391" t="n"/>
      <c r="H79" s="388" t="n"/>
      <c r="I79" s="392">
        <f>IFERROR(IF($C79="UV",IF($D79="S+ liner",$G79*INDEX(Prijzen!$C$15:$P$70,MATCH($E79,Prijzen!$B$15:$B$70,0),MATCH($F79,Prijzen!$C$14:$O$14,0))*0.58,IF($D79="M liner",$G79*INDEX(Prijzen!$C$2:$P$11,MATCH($E79,Prijzen!$B$2:$B$11,0),MATCH($F79,Prijzen!$C$1:$P$1,0))*0.58,0)),$G79*INDEX(Prijzen!$C$73:$P$94,MATCH($E79,Prijzen!$B$73:$B$94,0),MATCH($F79,Prijzen!$C$72:$P$72,0))),0)</f>
        <v/>
      </c>
      <c r="J79" s="401">
        <f>IF($H79="","nog te plannen",IFERROR(LOOKUP($H79,Periodetrend!$B$5:$B$17,Periodetrend!$A$5:$A$17),"vóór P1"))</f>
        <v/>
      </c>
    </row>
    <row r="80">
      <c r="A80" s="306" t="n"/>
      <c r="B80" s="388" t="n"/>
      <c r="C80" s="306" t="n"/>
      <c r="D80" s="306" t="n"/>
      <c r="E80" s="306" t="n"/>
      <c r="F80" s="306" t="n"/>
      <c r="G80" s="391" t="n"/>
      <c r="H80" s="388" t="n"/>
      <c r="I80" s="392">
        <f>IFERROR(IF($C80="UV",IF($D80="S+ liner",$G80*INDEX(Prijzen!$C$15:$P$70,MATCH($E80,Prijzen!$B$15:$B$70,0),MATCH($F80,Prijzen!$C$14:$O$14,0))*0.58,IF($D80="M liner",$G80*INDEX(Prijzen!$C$2:$P$11,MATCH($E80,Prijzen!$B$2:$B$11,0),MATCH($F80,Prijzen!$C$1:$P$1,0))*0.58,0)),$G80*INDEX(Prijzen!$C$73:$P$94,MATCH($E80,Prijzen!$B$73:$B$94,0),MATCH($F80,Prijzen!$C$72:$P$72,0))),0)</f>
        <v/>
      </c>
      <c r="J80" s="401">
        <f>IF($H80="","nog te plannen",IFERROR(LOOKUP($H80,Periodetrend!$B$5:$B$17,Periodetrend!$A$5:$A$17),"vóór P1"))</f>
        <v/>
      </c>
    </row>
    <row r="81">
      <c r="H81" s="402" t="inlineStr">
        <is>
          <t>TOTAAL</t>
        </is>
      </c>
      <c r="I81" s="403">
        <f>SUM(I5:I80)</f>
        <v/>
      </c>
    </row>
  </sheetData>
  <dataValidations count="2">
    <dataValidation sqref="C5:C80" showDropDown="0" showInputMessage="0" showErrorMessage="0" allowBlank="1" type="list">
      <formula1>"UV,JK"</formula1>
    </dataValidation>
    <dataValidation sqref="D5:D80" showDropDown="0" showInputMessage="0" showErrorMessage="0" allowBlank="1" type="list">
      <formula1>"S+ liner,M liner"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5"/>
  <sheetViews>
    <sheetView showGridLines="0" tabSelected="1" topLeftCell="A57" zoomScale="85" zoomScaleNormal="85" workbookViewId="0">
      <pane ySplit="1" topLeftCell="A2" activePane="bottomLeft" state="frozen"/>
      <selection pane="bottomLeft" activeCell="F95" sqref="F95"/>
    </sheetView>
  </sheetViews>
  <sheetFormatPr baseColWidth="8" defaultColWidth="9.140625" defaultRowHeight="12.75"/>
  <cols>
    <col width="40" customWidth="1" min="1" max="1"/>
    <col width="12" customWidth="1" style="252" min="2" max="2"/>
    <col width="9" customWidth="1" style="12" min="3" max="3"/>
    <col width="15" customWidth="1" style="7" min="4" max="4"/>
    <col width="8" customWidth="1" style="252" min="5" max="5"/>
    <col width="16" customWidth="1" style="12" min="6" max="6"/>
    <col width="30" bestFit="1" customWidth="1" min="7" max="8"/>
    <col width="3" customWidth="1" min="8" max="8"/>
    <col outlineLevel="1" width="8" customWidth="1" min="9" max="9"/>
    <col outlineLevel="1" width="22" customWidth="1" min="10" max="10"/>
    <col outlineLevel="1" width="8" customWidth="1" min="11" max="11"/>
    <col outlineLevel="1" width="8" customWidth="1" min="12" max="12"/>
    <col outlineLevel="1" width="8" customWidth="1" min="13" max="13"/>
    <col outlineLevel="1" width="9" customWidth="1" min="14" max="14"/>
    <col outlineLevel="1" width="7" customWidth="1" min="15" max="17"/>
    <col width="7" customWidth="1" min="16" max="16"/>
    <col width="7" customWidth="1" min="17" max="17"/>
    <col outlineLevel="1" width="9" customWidth="1" min="18" max="18"/>
    <col hidden="1" outlineLevel="1" width="12" customWidth="1" min="19" max="20"/>
    <col width="9" customWidth="1" min="20" max="20"/>
    <col outlineLevel="1" width="13" customWidth="1" style="12" min="21" max="21"/>
    <col hidden="1" outlineLevel="1" width="9.140625" customWidth="1" min="22" max="28"/>
    <col hidden="1" outlineLevel="1" width="9.85546875" customWidth="1" min="29" max="29"/>
    <col outlineLevel="1" width="11.42578125" customWidth="1" min="30" max="30"/>
  </cols>
  <sheetData>
    <row r="1" customFormat="1" s="3">
      <c r="A1" s="253" t="inlineStr">
        <is>
          <t>ALGEMEEN — projectgegevens</t>
        </is>
      </c>
      <c r="B1" s="254" t="n"/>
      <c r="C1" s="255" t="n"/>
      <c r="D1" s="256" t="n"/>
      <c r="E1" s="254" t="n"/>
      <c r="F1" s="255" t="n"/>
      <c r="G1" s="257" t="n"/>
      <c r="U1" s="10" t="n"/>
    </row>
    <row r="2">
      <c r="A2" s="244" t="inlineStr">
        <is>
          <t>Projectnummer</t>
        </is>
      </c>
      <c r="B2" s="258" t="n"/>
      <c r="C2" s="244" t="n"/>
      <c r="D2" s="244" t="n"/>
      <c r="E2" s="259" t="n"/>
      <c r="F2" s="244" t="n"/>
      <c r="G2" s="244" t="n"/>
    </row>
    <row r="3">
      <c r="A3" s="244" t="inlineStr">
        <is>
          <t>Project</t>
        </is>
      </c>
      <c r="B3" s="258" t="n"/>
      <c r="C3" s="244" t="n"/>
      <c r="D3" s="244" t="n"/>
      <c r="E3" s="259" t="n"/>
      <c r="F3" s="244" t="n"/>
      <c r="G3" s="244" t="n"/>
    </row>
    <row r="4">
      <c r="A4" s="244" t="inlineStr">
        <is>
          <t>Opdrachtgever</t>
        </is>
      </c>
      <c r="B4" s="258" t="n"/>
      <c r="C4" s="244" t="n"/>
      <c r="D4" s="244" t="n"/>
      <c r="E4" s="259" t="n"/>
      <c r="F4" s="244" t="n"/>
      <c r="G4" s="244" t="n"/>
    </row>
    <row r="5">
      <c r="A5" s="244" t="n"/>
      <c r="B5" s="244" t="n"/>
      <c r="C5" s="260" t="n"/>
      <c r="D5" s="261" t="n"/>
      <c r="E5" s="261" t="n"/>
      <c r="F5" s="244" t="n"/>
      <c r="G5" s="244" t="n"/>
    </row>
    <row r="6">
      <c r="A6" s="262" t="inlineStr">
        <is>
          <t xml:space="preserve">Aanneemsom </t>
        </is>
      </c>
      <c r="B6" s="244" t="n"/>
      <c r="C6" s="260" t="n"/>
      <c r="D6" s="261" t="n"/>
      <c r="E6" s="261" t="n"/>
      <c r="F6" s="244" t="n"/>
      <c r="G6" s="244" t="n"/>
    </row>
    <row r="7">
      <c r="A7" s="244" t="inlineStr">
        <is>
          <t>Aanneemsom (excl. btw)</t>
        </is>
      </c>
      <c r="B7" s="244" t="n"/>
      <c r="C7" s="260" t="n"/>
      <c r="D7" s="261" t="n"/>
      <c r="E7" s="244" t="n"/>
      <c r="F7" s="263" t="n"/>
      <c r="G7" s="244" t="n"/>
    </row>
    <row r="8">
      <c r="A8" s="264" t="n"/>
      <c r="B8" s="244" t="n"/>
      <c r="C8" s="260" t="n"/>
      <c r="D8" s="261" t="n"/>
      <c r="E8" s="244" t="n"/>
      <c r="F8" s="261" t="n"/>
      <c r="G8" s="244" t="n"/>
    </row>
    <row r="9">
      <c r="A9" s="265" t="inlineStr">
        <is>
          <t>Afwijking</t>
        </is>
      </c>
      <c r="B9" s="254" t="inlineStr">
        <is>
          <t>hvh/eenh.</t>
        </is>
      </c>
      <c r="C9" s="266" t="inlineStr">
        <is>
          <t>eenh.</t>
        </is>
      </c>
      <c r="D9" s="267" t="inlineStr">
        <is>
          <t>Prijs per eenh.</t>
        </is>
      </c>
      <c r="E9" s="254" t="inlineStr">
        <is>
          <t>aantal</t>
        </is>
      </c>
      <c r="F9" s="268" t="inlineStr">
        <is>
          <t>Totaal</t>
        </is>
      </c>
      <c r="G9" s="257" t="n"/>
    </row>
    <row r="10">
      <c r="A10" s="244" t="inlineStr">
        <is>
          <t>Meer putten</t>
        </is>
      </c>
      <c r="B10" s="269" t="n">
        <v>1</v>
      </c>
      <c r="C10" s="260" t="inlineStr">
        <is>
          <t>EUR</t>
        </is>
      </c>
      <c r="D10" s="261" t="n"/>
      <c r="E10" s="269" t="n">
        <v>1</v>
      </c>
      <c r="F10" s="270">
        <f>+B10*D10</f>
        <v/>
      </c>
      <c r="G10" s="244" t="n"/>
    </row>
    <row r="11">
      <c r="A11" s="244" t="inlineStr">
        <is>
          <t>Meer grondwerk</t>
        </is>
      </c>
      <c r="B11" s="269" t="n">
        <v>1</v>
      </c>
      <c r="C11" s="260" t="inlineStr">
        <is>
          <t>EUR</t>
        </is>
      </c>
      <c r="D11" s="271" t="n">
        <v>0</v>
      </c>
      <c r="E11" s="269" t="n">
        <v>1</v>
      </c>
      <c r="F11" s="270">
        <f>+B11*D11</f>
        <v/>
      </c>
      <c r="G11" s="244" t="n"/>
    </row>
    <row r="12">
      <c r="A12" s="244" t="inlineStr">
        <is>
          <t>Meer verkeersmaatregelen</t>
        </is>
      </c>
      <c r="B12" s="269" t="n">
        <v>1</v>
      </c>
      <c r="C12" s="260" t="inlineStr">
        <is>
          <t>EUR</t>
        </is>
      </c>
      <c r="D12" s="271" t="n">
        <v>0</v>
      </c>
      <c r="E12" s="269" t="n">
        <v>1</v>
      </c>
      <c r="F12" s="270">
        <f>+B12*D12</f>
        <v/>
      </c>
      <c r="G12" s="272" t="n"/>
    </row>
    <row r="13">
      <c r="A13" s="244" t="n"/>
      <c r="B13" s="269" t="n">
        <v>1</v>
      </c>
      <c r="C13" s="260" t="inlineStr">
        <is>
          <t>EUR</t>
        </is>
      </c>
      <c r="D13" s="271" t="n">
        <v>0</v>
      </c>
      <c r="E13" s="269" t="n">
        <v>1</v>
      </c>
      <c r="F13" s="270">
        <f>+B13*D13</f>
        <v/>
      </c>
      <c r="G13" s="244" t="n"/>
    </row>
    <row r="14">
      <c r="A14" s="244" t="n"/>
      <c r="B14" s="269" t="n">
        <v>1</v>
      </c>
      <c r="C14" s="260" t="inlineStr">
        <is>
          <t>EUR</t>
        </is>
      </c>
      <c r="D14" s="271" t="n">
        <v>0</v>
      </c>
      <c r="E14" s="269" t="n">
        <v>1</v>
      </c>
      <c r="F14" s="270">
        <f>+B14*D14</f>
        <v/>
      </c>
      <c r="G14" s="244" t="n"/>
    </row>
    <row r="15">
      <c r="A15" s="244" t="n"/>
      <c r="B15" s="269" t="n">
        <v>1</v>
      </c>
      <c r="C15" s="260" t="inlineStr">
        <is>
          <t>EUR</t>
        </is>
      </c>
      <c r="D15" s="271" t="n">
        <v>0</v>
      </c>
      <c r="E15" s="269" t="n">
        <v>1</v>
      </c>
      <c r="F15" s="270">
        <f>+B15*D15</f>
        <v/>
      </c>
      <c r="G15" s="244" t="n"/>
    </row>
    <row r="16">
      <c r="A16" s="244" t="n"/>
      <c r="B16" s="269" t="n">
        <v>1</v>
      </c>
      <c r="C16" s="260" t="inlineStr">
        <is>
          <t>EUR</t>
        </is>
      </c>
      <c r="D16" s="271" t="n">
        <v>0</v>
      </c>
      <c r="E16" s="269" t="n">
        <v>1</v>
      </c>
      <c r="F16" s="270">
        <f>+B16*D16</f>
        <v/>
      </c>
      <c r="G16" s="272" t="n"/>
    </row>
    <row r="17">
      <c r="A17" s="244" t="n"/>
      <c r="B17" s="269" t="n">
        <v>1</v>
      </c>
      <c r="C17" s="260" t="inlineStr">
        <is>
          <t>EUR</t>
        </is>
      </c>
      <c r="D17" s="271" t="n">
        <v>0</v>
      </c>
      <c r="E17" s="269" t="n">
        <v>1</v>
      </c>
      <c r="F17" s="270">
        <f>+B17*D17</f>
        <v/>
      </c>
      <c r="G17" s="244" t="n"/>
    </row>
    <row r="18">
      <c r="A18" s="244" t="n"/>
      <c r="B18" s="269" t="n">
        <v>1</v>
      </c>
      <c r="C18" s="260" t="inlineStr">
        <is>
          <t>EUR</t>
        </is>
      </c>
      <c r="D18" s="271" t="n">
        <v>0</v>
      </c>
      <c r="E18" s="269" t="n">
        <v>1</v>
      </c>
      <c r="F18" s="270">
        <f>+B18*D18</f>
        <v/>
      </c>
      <c r="G18" s="244" t="n"/>
    </row>
    <row r="19">
      <c r="A19" s="244" t="n"/>
      <c r="B19" s="269" t="n">
        <v>1</v>
      </c>
      <c r="C19" s="260" t="inlineStr">
        <is>
          <t>EUR</t>
        </is>
      </c>
      <c r="D19" s="271" t="n">
        <v>0</v>
      </c>
      <c r="E19" s="269" t="n">
        <v>1</v>
      </c>
      <c r="F19" s="270">
        <f>+B19*D19</f>
        <v/>
      </c>
      <c r="G19" s="244" t="n"/>
    </row>
    <row r="20">
      <c r="A20" s="244" t="n"/>
      <c r="B20" s="269" t="n">
        <v>1</v>
      </c>
      <c r="C20" s="260" t="inlineStr">
        <is>
          <t>EUR</t>
        </is>
      </c>
      <c r="D20" s="271" t="n">
        <v>0</v>
      </c>
      <c r="E20" s="269" t="n">
        <v>1</v>
      </c>
      <c r="F20" s="270">
        <f>+B20*D20</f>
        <v/>
      </c>
      <c r="G20" s="244" t="n"/>
    </row>
    <row r="21">
      <c r="A21" s="244" t="n"/>
      <c r="B21" s="269" t="n">
        <v>1</v>
      </c>
      <c r="C21" s="260" t="inlineStr">
        <is>
          <t>EUR</t>
        </is>
      </c>
      <c r="D21" s="271" t="n">
        <v>0</v>
      </c>
      <c r="E21" s="269" t="n">
        <v>1</v>
      </c>
      <c r="F21" s="270">
        <f>+B21*D21</f>
        <v/>
      </c>
      <c r="G21" s="244" t="n"/>
    </row>
    <row r="22">
      <c r="A22" s="244" t="n"/>
      <c r="B22" s="269" t="n">
        <v>1</v>
      </c>
      <c r="C22" s="260" t="inlineStr">
        <is>
          <t>EUR</t>
        </is>
      </c>
      <c r="D22" s="271" t="n">
        <v>0</v>
      </c>
      <c r="E22" s="269" t="n">
        <v>1</v>
      </c>
      <c r="F22" s="270">
        <f>+B22*D22</f>
        <v/>
      </c>
      <c r="G22" s="244" t="n"/>
    </row>
    <row r="23">
      <c r="A23" s="244" t="n"/>
      <c r="B23" s="244" t="n"/>
      <c r="C23" s="260" t="n"/>
      <c r="D23" s="261" t="n"/>
      <c r="E23" s="244" t="n"/>
      <c r="F23" s="261" t="n"/>
      <c r="G23" s="244" t="n"/>
    </row>
    <row r="24">
      <c r="A24" s="273" t="inlineStr">
        <is>
          <t>Gecorrigeerde aanneemsom</t>
        </is>
      </c>
      <c r="B24" s="273" t="n"/>
      <c r="C24" s="274" t="n"/>
      <c r="D24" s="275" t="n"/>
      <c r="E24" s="273" t="n"/>
      <c r="F24" s="276">
        <f>SUM(F7:F22)</f>
        <v/>
      </c>
      <c r="G24" s="273" t="n"/>
    </row>
    <row r="25">
      <c r="A25" s="244" t="n"/>
      <c r="B25" s="244" t="n"/>
      <c r="C25" s="260" t="n"/>
      <c r="D25" s="261" t="n"/>
      <c r="E25" s="244" t="n"/>
      <c r="F25" s="261" t="n"/>
      <c r="G25" s="244" t="n"/>
    </row>
    <row r="26">
      <c r="A26" s="265" t="inlineStr">
        <is>
          <t>Verrekende termijnen</t>
        </is>
      </c>
      <c r="B26" s="257" t="n"/>
      <c r="C26" s="266" t="n"/>
      <c r="D26" s="267" t="n"/>
      <c r="E26" s="257" t="n"/>
      <c r="F26" s="267" t="n"/>
      <c r="G26" s="257" t="n"/>
    </row>
    <row r="27">
      <c r="A27" s="244" t="inlineStr">
        <is>
          <t>Termijn 1</t>
        </is>
      </c>
      <c r="B27" s="269" t="n">
        <v>1</v>
      </c>
      <c r="C27" s="260" t="inlineStr">
        <is>
          <t>EUR</t>
        </is>
      </c>
      <c r="D27" s="271" t="n">
        <v>0</v>
      </c>
      <c r="E27" s="269" t="n">
        <v>1</v>
      </c>
      <c r="F27" s="270">
        <f>+B27*D27</f>
        <v/>
      </c>
      <c r="G27" s="244" t="n"/>
    </row>
    <row r="28">
      <c r="A28" s="244" t="inlineStr">
        <is>
          <t>Termijn 2</t>
        </is>
      </c>
      <c r="B28" s="269" t="n">
        <v>1</v>
      </c>
      <c r="C28" s="260" t="inlineStr">
        <is>
          <t>EUR</t>
        </is>
      </c>
      <c r="D28" s="271" t="n">
        <v>0</v>
      </c>
      <c r="E28" s="269" t="n">
        <v>1</v>
      </c>
      <c r="F28" s="270">
        <f>+B28*D28</f>
        <v/>
      </c>
      <c r="G28" s="244" t="n"/>
    </row>
    <row r="29">
      <c r="A29" s="244" t="inlineStr">
        <is>
          <t>Termijn 3</t>
        </is>
      </c>
      <c r="B29" s="269" t="n">
        <v>1</v>
      </c>
      <c r="C29" s="260" t="inlineStr">
        <is>
          <t>EUR</t>
        </is>
      </c>
      <c r="D29" s="271" t="n">
        <v>0</v>
      </c>
      <c r="E29" s="269" t="n">
        <v>1</v>
      </c>
      <c r="F29" s="270">
        <f>+B29*D29</f>
        <v/>
      </c>
      <c r="G29" s="244" t="n"/>
    </row>
    <row r="30">
      <c r="A30" s="244" t="inlineStr">
        <is>
          <t>Termijn 4</t>
        </is>
      </c>
      <c r="B30" s="269" t="n">
        <v>1</v>
      </c>
      <c r="C30" s="260" t="inlineStr">
        <is>
          <t>EUR</t>
        </is>
      </c>
      <c r="D30" s="271" t="n">
        <v>0</v>
      </c>
      <c r="E30" s="269" t="n">
        <v>1</v>
      </c>
      <c r="F30" s="270">
        <f>+B30*D30</f>
        <v/>
      </c>
      <c r="G30" s="244" t="n"/>
    </row>
    <row r="31">
      <c r="A31" s="244" t="inlineStr">
        <is>
          <t>Termijn 5</t>
        </is>
      </c>
      <c r="B31" s="269" t="n">
        <v>1</v>
      </c>
      <c r="C31" s="260" t="inlineStr">
        <is>
          <t>EUR</t>
        </is>
      </c>
      <c r="D31" s="271" t="n">
        <v>0</v>
      </c>
      <c r="E31" s="269" t="n">
        <v>1</v>
      </c>
      <c r="F31" s="270">
        <f>+B31*D31</f>
        <v/>
      </c>
      <c r="G31" s="244" t="n"/>
    </row>
    <row r="32">
      <c r="A32" s="244" t="n"/>
      <c r="B32" s="244" t="n"/>
      <c r="C32" s="260" t="n"/>
      <c r="D32" s="261" t="n"/>
      <c r="E32" s="244" t="n"/>
      <c r="F32" s="261" t="n"/>
      <c r="G32" s="244" t="n"/>
    </row>
    <row r="33">
      <c r="A33" s="273" t="inlineStr">
        <is>
          <t>Totaal gefactueerd</t>
        </is>
      </c>
      <c r="B33" s="273" t="n"/>
      <c r="C33" s="274" t="n"/>
      <c r="D33" s="275" t="n"/>
      <c r="E33" s="273" t="n"/>
      <c r="F33" s="276">
        <f>SUM(F27:F31)</f>
        <v/>
      </c>
      <c r="G33" s="273" t="n"/>
    </row>
    <row r="34">
      <c r="A34" s="244" t="n"/>
      <c r="B34" s="244" t="n"/>
      <c r="C34" s="260" t="n"/>
      <c r="D34" s="261" t="n"/>
      <c r="E34" s="244" t="n"/>
      <c r="F34" s="261" t="n"/>
      <c r="G34" s="244" t="n"/>
    </row>
    <row r="35">
      <c r="A35" s="273" t="inlineStr">
        <is>
          <t>Nog te factureren</t>
        </is>
      </c>
      <c r="B35" s="273" t="n"/>
      <c r="C35" s="274" t="n"/>
      <c r="D35" s="275" t="n"/>
      <c r="E35" s="273" t="n"/>
      <c r="F35" s="276">
        <f>F24-F33</f>
        <v/>
      </c>
      <c r="G35" s="273" t="n"/>
    </row>
    <row r="36">
      <c r="A36" s="244" t="n"/>
      <c r="B36" s="244" t="n"/>
      <c r="C36" s="244" t="n"/>
      <c r="D36" s="244" t="n"/>
      <c r="E36" s="244" t="n"/>
      <c r="F36" s="244" t="n"/>
      <c r="G36" s="244" t="n"/>
    </row>
    <row r="37">
      <c r="A37" s="244" t="n"/>
      <c r="B37" s="244" t="n"/>
      <c r="C37" s="244" t="n"/>
      <c r="D37" s="244" t="n"/>
      <c r="E37" s="244" t="n"/>
      <c r="F37" s="244" t="n"/>
      <c r="G37" s="244" t="n"/>
    </row>
    <row r="38" customFormat="1" s="3">
      <c r="A38" s="265" t="inlineStr">
        <is>
          <t>Kosten</t>
        </is>
      </c>
      <c r="B38" s="254" t="n"/>
      <c r="C38" s="255" t="n"/>
      <c r="D38" s="256" t="n"/>
      <c r="E38" s="254" t="n"/>
      <c r="F38" s="255" t="n"/>
      <c r="G38" s="257" t="n"/>
      <c r="U38" s="10" t="n"/>
    </row>
    <row r="39" customFormat="1" s="34">
      <c r="A39" s="265" t="inlineStr">
        <is>
          <t>Geboekte kosten t/m deze periode</t>
        </is>
      </c>
      <c r="B39" s="254" t="n"/>
      <c r="C39" s="255" t="n"/>
      <c r="D39" s="256" t="n"/>
      <c r="E39" s="254" t="n"/>
      <c r="F39" s="268" t="n"/>
      <c r="G39" s="257" t="n"/>
      <c r="U39" s="31" t="n"/>
    </row>
    <row r="40" ht="15" customFormat="1" customHeight="1" s="18">
      <c r="A40" s="277" t="inlineStr">
        <is>
          <t>Geboekte kosten t/m deze periode</t>
        </is>
      </c>
      <c r="B40" s="278" t="n"/>
      <c r="C40" s="279" t="n"/>
      <c r="D40" s="280" t="n"/>
      <c r="E40" s="278" t="n"/>
      <c r="F40" s="281" t="n">
        <v>4907</v>
      </c>
      <c r="G40" s="244" t="n"/>
      <c r="U40" s="20" t="n"/>
    </row>
    <row r="41" customFormat="1" s="18">
      <c r="A41" s="244" t="n"/>
      <c r="B41" s="282" t="n"/>
      <c r="C41" s="283" t="n"/>
      <c r="D41" s="284" t="n"/>
      <c r="E41" s="282" t="n"/>
      <c r="F41" s="285" t="n"/>
      <c r="G41" s="244" t="n"/>
      <c r="U41" s="20" t="n"/>
    </row>
    <row r="42" customFormat="1" s="44">
      <c r="A42" s="265" t="inlineStr">
        <is>
          <t>Nog te boeken kosten deze periode</t>
        </is>
      </c>
      <c r="B42" s="254" t="inlineStr">
        <is>
          <t>hvh/eenh.</t>
        </is>
      </c>
      <c r="C42" s="255" t="inlineStr">
        <is>
          <t>eenh.</t>
        </is>
      </c>
      <c r="D42" s="256" t="inlineStr">
        <is>
          <t>Prijs per eenh.</t>
        </is>
      </c>
      <c r="E42" s="254" t="inlineStr">
        <is>
          <t>aantal</t>
        </is>
      </c>
      <c r="F42" s="268" t="inlineStr">
        <is>
          <t>Totaal</t>
        </is>
      </c>
      <c r="G42" s="257" t="n"/>
      <c r="U42" s="42" t="n"/>
    </row>
    <row r="43" customFormat="1" s="18">
      <c r="A43" s="244" t="n"/>
      <c r="B43" s="282" t="n"/>
      <c r="C43" s="283" t="inlineStr">
        <is>
          <t>EUR</t>
        </is>
      </c>
      <c r="D43" s="271" t="n">
        <v>1</v>
      </c>
      <c r="E43" s="286" t="n">
        <v>1</v>
      </c>
      <c r="F43" s="287">
        <f>B43*D43*E43</f>
        <v/>
      </c>
      <c r="G43" s="244" t="n"/>
      <c r="U43" s="20" t="n"/>
    </row>
    <row r="44" customFormat="1" s="18">
      <c r="A44" s="244" t="n"/>
      <c r="B44" s="282" t="n"/>
      <c r="C44" s="283" t="n"/>
      <c r="D44" s="261" t="n"/>
      <c r="E44" s="282" t="n"/>
      <c r="F44" s="285" t="n"/>
      <c r="G44" s="244" t="n"/>
      <c r="U44" s="20" t="n"/>
    </row>
    <row r="45" customFormat="1" s="18">
      <c r="A45" s="244" t="n"/>
      <c r="B45" s="282" t="n"/>
      <c r="C45" s="283" t="n"/>
      <c r="D45" s="261" t="n"/>
      <c r="E45" s="282" t="n"/>
      <c r="F45" s="287" t="n">
        <v>0</v>
      </c>
      <c r="G45" s="244" t="n"/>
      <c r="U45" s="20" t="n"/>
    </row>
    <row r="46" customFormat="1" s="18">
      <c r="A46" s="244" t="n"/>
      <c r="B46" s="282" t="n"/>
      <c r="C46" s="283" t="n"/>
      <c r="D46" s="284" t="n"/>
      <c r="E46" s="282" t="n"/>
      <c r="F46" s="285" t="n"/>
      <c r="G46" s="244" t="n"/>
      <c r="U46" s="20" t="n"/>
    </row>
    <row r="47" customFormat="1" s="18">
      <c r="A47" s="288" t="inlineStr">
        <is>
          <t>subtotaal</t>
        </is>
      </c>
      <c r="B47" s="289" t="n"/>
      <c r="C47" s="290" t="n"/>
      <c r="D47" s="291" t="n"/>
      <c r="E47" s="289" t="n"/>
      <c r="F47" s="292">
        <f>SUM(F43:F45)</f>
        <v/>
      </c>
      <c r="G47" s="293" t="n"/>
      <c r="U47" s="20" t="n"/>
    </row>
    <row r="48" customFormat="1" s="18">
      <c r="A48" s="294" t="n"/>
      <c r="B48" s="282" t="n"/>
      <c r="C48" s="283" t="n"/>
      <c r="D48" s="284" t="n"/>
      <c r="E48" s="282" t="n"/>
      <c r="F48" s="295" t="n"/>
      <c r="G48" s="296" t="n"/>
      <c r="U48" s="20" t="n"/>
    </row>
    <row r="49" customFormat="1" s="18">
      <c r="A49" s="288" t="inlineStr">
        <is>
          <t>Algemenkosten 10%</t>
        </is>
      </c>
      <c r="B49" s="289" t="n">
        <v>10</v>
      </c>
      <c r="C49" s="290" t="inlineStr">
        <is>
          <t>%</t>
        </is>
      </c>
      <c r="D49" s="291" t="n"/>
      <c r="E49" s="289" t="n"/>
      <c r="F49" s="292">
        <f>SUM(F43:F46)*B49%</f>
        <v/>
      </c>
      <c r="G49" s="293" t="n"/>
      <c r="U49" s="20" t="n"/>
    </row>
    <row r="50" customFormat="1" s="18">
      <c r="A50" s="294" t="n"/>
      <c r="B50" s="282" t="n"/>
      <c r="C50" s="283" t="n"/>
      <c r="D50" s="284" t="n"/>
      <c r="E50" s="282" t="n"/>
      <c r="F50" s="295" t="n"/>
      <c r="G50" s="296" t="n"/>
      <c r="U50" s="20" t="n"/>
    </row>
    <row r="51" customFormat="1" s="18">
      <c r="A51" s="288" t="inlineStr">
        <is>
          <t>Totaal nog te boeken kosten t/m deze periode</t>
        </is>
      </c>
      <c r="B51" s="289" t="n"/>
      <c r="C51" s="290" t="n"/>
      <c r="D51" s="291" t="n"/>
      <c r="E51" s="289" t="n"/>
      <c r="F51" s="292">
        <f>SUM(F47:F49)</f>
        <v/>
      </c>
      <c r="G51" s="293" t="n"/>
      <c r="U51" s="20" t="n"/>
    </row>
    <row r="52" ht="15" customFormat="1" customHeight="1" s="18">
      <c r="A52" s="244" t="n"/>
      <c r="B52" s="282" t="n"/>
      <c r="C52" s="283" t="n"/>
      <c r="D52" s="284" t="n"/>
      <c r="E52" s="282" t="n"/>
      <c r="F52" s="297" t="n"/>
      <c r="G52" s="298" t="n"/>
      <c r="H52" s="28" t="n"/>
      <c r="U52" s="20" t="n"/>
    </row>
    <row r="53" customFormat="1" s="44">
      <c r="A53" s="265" t="inlineStr">
        <is>
          <t>Prognose kosten nog uit te voeren/Verwachte kosten</t>
        </is>
      </c>
      <c r="B53" s="254" t="n"/>
      <c r="C53" s="255" t="n"/>
      <c r="D53" s="256" t="n"/>
      <c r="E53" s="254" t="n"/>
      <c r="F53" s="268" t="n"/>
      <c r="G53" s="257" t="n"/>
      <c r="U53" s="42" t="n"/>
    </row>
    <row r="54">
      <c r="A54" s="299" t="inlineStr">
        <is>
          <t>Verwachte kosten — blauwe prijscellen zijn gekoppeld aan 'Tarieven 2026' (schakel Hoog/Laag daar).</t>
        </is>
      </c>
      <c r="B54" s="244" t="n"/>
      <c r="C54" s="260" t="n"/>
      <c r="D54" s="261" t="n"/>
      <c r="E54" s="244" t="n"/>
      <c r="F54" s="300" t="n"/>
      <c r="G54" s="244" t="n"/>
    </row>
    <row r="55">
      <c r="A55" s="265" t="inlineStr">
        <is>
          <t>Verificatie-inspectie</t>
        </is>
      </c>
      <c r="B55" s="254" t="inlineStr">
        <is>
          <t>hvh/eenh.</t>
        </is>
      </c>
      <c r="C55" s="266" t="inlineStr">
        <is>
          <t>eenh.</t>
        </is>
      </c>
      <c r="D55" s="267" t="inlineStr">
        <is>
          <t>Prijs per eenh.</t>
        </is>
      </c>
      <c r="E55" s="254" t="inlineStr">
        <is>
          <t>aantal</t>
        </is>
      </c>
      <c r="F55" s="268" t="inlineStr">
        <is>
          <t>Totaal</t>
        </is>
      </c>
      <c r="G55" s="257" t="n"/>
    </row>
    <row r="56">
      <c r="A56" s="244" t="inlineStr">
        <is>
          <t>Rioolcombi</t>
        </is>
      </c>
      <c r="B56" s="244" t="n"/>
      <c r="C56" s="260" t="inlineStr">
        <is>
          <t>dag</t>
        </is>
      </c>
      <c r="D56" s="301">
        <f>IF('Tarieven 2026'!$J$4="Hoog",'Tarieven 2026'!E11,'Tarieven 2026'!G11)</f>
        <v/>
      </c>
      <c r="E56" s="269" t="n">
        <v>1</v>
      </c>
      <c r="F56" s="302">
        <f>D56*B56*E56</f>
        <v/>
      </c>
      <c r="G56" s="303" t="inlineStr">
        <is>
          <t>Combi 2 man — Tarieven 2026</t>
        </is>
      </c>
    </row>
    <row r="57">
      <c r="A57" s="244" t="inlineStr">
        <is>
          <t>Zuigwagen</t>
        </is>
      </c>
      <c r="B57" s="244" t="n"/>
      <c r="C57" s="260" t="inlineStr">
        <is>
          <t>dag</t>
        </is>
      </c>
      <c r="D57" s="301">
        <f>IF('Tarieven 2026'!$J$4="Hoog",'Tarieven 2026'!E9,'Tarieven 2026'!G9)</f>
        <v/>
      </c>
      <c r="E57" s="269" t="n">
        <v>1</v>
      </c>
      <c r="F57" s="302">
        <f>D57*B57*E57</f>
        <v/>
      </c>
      <c r="G57" s="303" t="inlineStr">
        <is>
          <t>Vacuumwagen 2 man — Tarieven 2026</t>
        </is>
      </c>
    </row>
    <row r="58">
      <c r="A58" s="244" t="inlineStr">
        <is>
          <t>Inspectie</t>
        </is>
      </c>
      <c r="B58" s="244" t="n"/>
      <c r="C58" s="260" t="inlineStr">
        <is>
          <t>dag</t>
        </is>
      </c>
      <c r="D58" s="301">
        <f>IF('Tarieven 2026'!$J$4="Hoog",'Tarieven 2026'!E12,'Tarieven 2026'!G12)</f>
        <v/>
      </c>
      <c r="E58" s="269" t="n">
        <v>1</v>
      </c>
      <c r="F58" s="302">
        <f>D58*B58*E58</f>
        <v/>
      </c>
      <c r="G58" s="303" t="inlineStr">
        <is>
          <t>Inspectie-unit conv. 1 man — Tarieven 2026</t>
        </is>
      </c>
    </row>
    <row r="59">
      <c r="A59" s="244" t="inlineStr">
        <is>
          <t>Werkbus met medewerker</t>
        </is>
      </c>
      <c r="B59" s="244" t="n"/>
      <c r="C59" s="260" t="inlineStr">
        <is>
          <t>dag</t>
        </is>
      </c>
      <c r="D59" s="301">
        <f>IF('Tarieven 2026'!$J$4="Hoog",'Tarieven 2026'!E21,'Tarieven 2026'!G21)+'Tarieven 2026'!G26</f>
        <v/>
      </c>
      <c r="E59" s="269" t="n">
        <v>1</v>
      </c>
      <c r="F59" s="302">
        <f>D59*B59*E59</f>
        <v/>
      </c>
      <c r="G59" s="303" t="inlineStr">
        <is>
          <t>Transportbus + operationeel — Tarieven 2026</t>
        </is>
      </c>
    </row>
    <row r="60">
      <c r="A60" s="244" t="inlineStr">
        <is>
          <t>Afsluiters</t>
        </is>
      </c>
      <c r="B60" s="244" t="n"/>
      <c r="C60" s="260" t="inlineStr">
        <is>
          <t>week</t>
        </is>
      </c>
      <c r="D60" s="271" t="n">
        <v>0</v>
      </c>
      <c r="E60" s="269" t="n">
        <v>1</v>
      </c>
      <c r="F60" s="302">
        <f>D60*B60*E60</f>
        <v/>
      </c>
      <c r="G60" s="244" t="n"/>
    </row>
    <row r="61">
      <c r="A61" s="244" t="inlineStr">
        <is>
          <t>Stortkosten slib</t>
        </is>
      </c>
      <c r="B61" s="244" t="n"/>
      <c r="C61" s="260" t="inlineStr">
        <is>
          <t>ton</t>
        </is>
      </c>
      <c r="D61" s="301">
        <f>'Tarieven 2026'!F22</f>
        <v/>
      </c>
      <c r="E61" s="269" t="n">
        <v>1</v>
      </c>
      <c r="F61" s="302">
        <f>D61*B61*E61</f>
        <v/>
      </c>
      <c r="G61" s="303" t="inlineStr">
        <is>
          <t>Stortkosten RKG-slib p/ton — Tarieven 2026</t>
        </is>
      </c>
    </row>
    <row r="62">
      <c r="A62" s="244" t="inlineStr">
        <is>
          <t>Hotel</t>
        </is>
      </c>
      <c r="B62" s="244" t="n"/>
      <c r="C62" s="260" t="inlineStr">
        <is>
          <t>nacht</t>
        </is>
      </c>
      <c r="D62" s="271" t="n">
        <v>250</v>
      </c>
      <c r="E62" s="269" t="n">
        <v>1</v>
      </c>
      <c r="F62" s="302">
        <f>B62*D62*E62</f>
        <v/>
      </c>
      <c r="G62" s="244" t="n"/>
    </row>
    <row r="63">
      <c r="A63" s="244" t="n"/>
      <c r="B63" s="244" t="n"/>
      <c r="C63" s="260" t="n"/>
      <c r="D63" s="261" t="n"/>
      <c r="E63" s="244" t="n"/>
      <c r="F63" s="300" t="n"/>
      <c r="G63" s="244" t="n"/>
    </row>
    <row r="64">
      <c r="A64" s="265" t="inlineStr">
        <is>
          <t>Verwijderen obstakels</t>
        </is>
      </c>
      <c r="B64" s="257" t="n"/>
      <c r="C64" s="266" t="n"/>
      <c r="D64" s="267" t="n"/>
      <c r="E64" s="257" t="n"/>
      <c r="F64" s="268" t="n"/>
      <c r="G64" s="257" t="n"/>
    </row>
    <row r="65">
      <c r="A65" s="244" t="inlineStr">
        <is>
          <t>Robotfrees</t>
        </is>
      </c>
      <c r="B65" s="244" t="n"/>
      <c r="C65" s="260" t="inlineStr">
        <is>
          <t>dag</t>
        </is>
      </c>
      <c r="D65" s="301">
        <f>IF('Tarieven 2026'!$J$4="Hoog",'Tarieven 2026'!E16,'Tarieven 2026'!G16)</f>
        <v/>
      </c>
      <c r="E65" s="269" t="n">
        <v>1</v>
      </c>
      <c r="F65" s="302">
        <f>B65*D65*E65</f>
        <v/>
      </c>
      <c r="G65" s="303" t="inlineStr">
        <is>
          <t>Robotfrees-unit 2 man — Tarieven 2026</t>
        </is>
      </c>
    </row>
    <row r="66">
      <c r="A66" s="244" t="inlineStr">
        <is>
          <t>Reiniging</t>
        </is>
      </c>
      <c r="B66" s="244" t="n"/>
      <c r="C66" s="260" t="inlineStr">
        <is>
          <t>dag</t>
        </is>
      </c>
      <c r="D66" s="301">
        <f>IF('Tarieven 2026'!$J$4="Hoog",'Tarieven 2026'!E5,'Tarieven 2026'!G5)</f>
        <v/>
      </c>
      <c r="E66" s="269" t="n">
        <v>1</v>
      </c>
      <c r="F66" s="302">
        <f>B66*D66*E66</f>
        <v/>
      </c>
      <c r="G66" s="303" t="inlineStr">
        <is>
          <t>RR combinatie 2 man — Tarieven 2026</t>
        </is>
      </c>
    </row>
    <row r="67">
      <c r="A67" s="244" t="inlineStr">
        <is>
          <t>Inspectie</t>
        </is>
      </c>
      <c r="B67" s="244" t="n"/>
      <c r="C67" s="260" t="inlineStr">
        <is>
          <t>dag</t>
        </is>
      </c>
      <c r="D67" s="301">
        <f>IF('Tarieven 2026'!$J$4="Hoog",'Tarieven 2026'!E12,'Tarieven 2026'!G12)</f>
        <v/>
      </c>
      <c r="E67" s="269" t="n">
        <v>1</v>
      </c>
      <c r="F67" s="302">
        <f>B67*D67*E67</f>
        <v/>
      </c>
      <c r="G67" s="303" t="inlineStr">
        <is>
          <t>Inspectie-unit conv. 1 man — Tarieven 2026</t>
        </is>
      </c>
    </row>
    <row r="68" ht="13.5" customHeight="1">
      <c r="A68" s="244" t="inlineStr">
        <is>
          <t>Afsluiters</t>
        </is>
      </c>
      <c r="B68" s="244" t="n"/>
      <c r="C68" s="260" t="inlineStr">
        <is>
          <t>week</t>
        </is>
      </c>
      <c r="D68" s="271" t="n">
        <v>0</v>
      </c>
      <c r="E68" s="269" t="n">
        <v>1</v>
      </c>
      <c r="F68" s="302">
        <f>B68*D68*E68</f>
        <v/>
      </c>
      <c r="G68" s="244" t="n"/>
    </row>
    <row r="69">
      <c r="A69" s="244" t="inlineStr">
        <is>
          <t>Stortkosten slib</t>
        </is>
      </c>
      <c r="B69" s="244" t="n"/>
      <c r="C69" s="260" t="inlineStr">
        <is>
          <t>ton</t>
        </is>
      </c>
      <c r="D69" s="301">
        <f>'Tarieven 2026'!F22</f>
        <v/>
      </c>
      <c r="E69" s="269" t="n">
        <v>1</v>
      </c>
      <c r="F69" s="302">
        <f>B69*D69*E69</f>
        <v/>
      </c>
      <c r="G69" s="303" t="inlineStr">
        <is>
          <t>Stortkosten RKG-slib p/ton — Tarieven 2026</t>
        </is>
      </c>
    </row>
    <row r="70">
      <c r="A70" s="244" t="inlineStr">
        <is>
          <t>Hotel</t>
        </is>
      </c>
      <c r="B70" s="244" t="n"/>
      <c r="C70" s="260" t="inlineStr">
        <is>
          <t>nacht</t>
        </is>
      </c>
      <c r="D70" s="271" t="n">
        <v>250</v>
      </c>
      <c r="E70" s="269" t="n">
        <v>2</v>
      </c>
      <c r="F70" s="302">
        <f>B70*D70*E70</f>
        <v/>
      </c>
      <c r="G70" s="244" t="n"/>
    </row>
    <row r="71">
      <c r="A71" s="244" t="n"/>
      <c r="B71" s="244" t="n"/>
      <c r="C71" s="260" t="n"/>
      <c r="D71" s="261" t="n"/>
      <c r="E71" s="244" t="n"/>
      <c r="F71" s="300" t="n"/>
      <c r="G71" s="244" t="n"/>
    </row>
    <row r="72">
      <c r="A72" s="265" t="inlineStr">
        <is>
          <t xml:space="preserve">Renovatie </t>
        </is>
      </c>
      <c r="B72" s="257" t="n"/>
      <c r="C72" s="266" t="n"/>
      <c r="D72" s="267" t="n"/>
      <c r="E72" s="257" t="n"/>
      <c r="F72" s="268" t="n"/>
      <c r="G72" s="257" t="n"/>
    </row>
    <row r="73">
      <c r="A73" s="244" t="inlineStr">
        <is>
          <t>Robotfrees</t>
        </is>
      </c>
      <c r="B73" s="244" t="n"/>
      <c r="C73" s="260" t="inlineStr">
        <is>
          <t>dag</t>
        </is>
      </c>
      <c r="D73" s="301">
        <f>IF('Tarieven 2026'!$J$4="Hoog",'Tarieven 2026'!E16,'Tarieven 2026'!G16)</f>
        <v/>
      </c>
      <c r="E73" s="269" t="n">
        <v>1</v>
      </c>
      <c r="F73" s="302">
        <f>B73*D73*E73</f>
        <v/>
      </c>
      <c r="G73" s="303" t="inlineStr">
        <is>
          <t>Robotfrees-unit 2 man — Tarieven 2026</t>
        </is>
      </c>
    </row>
    <row r="74">
      <c r="A74" s="244" t="inlineStr">
        <is>
          <t>Reiniging</t>
        </is>
      </c>
      <c r="B74" s="244" t="n"/>
      <c r="C74" s="260" t="inlineStr">
        <is>
          <t>dag</t>
        </is>
      </c>
      <c r="D74" s="301">
        <f>IF('Tarieven 2026'!$J$4="Hoog",'Tarieven 2026'!E5,'Tarieven 2026'!G5)</f>
        <v/>
      </c>
      <c r="E74" s="269" t="n">
        <v>1</v>
      </c>
      <c r="F74" s="302">
        <f>B74*D74*E74</f>
        <v/>
      </c>
      <c r="G74" s="303" t="inlineStr">
        <is>
          <t>RR combinatie 2 man — Tarieven 2026</t>
        </is>
      </c>
    </row>
    <row r="75">
      <c r="A75" s="244" t="inlineStr">
        <is>
          <t>Inspectie</t>
        </is>
      </c>
      <c r="B75" s="244" t="n"/>
      <c r="C75" s="260" t="inlineStr">
        <is>
          <t>dag</t>
        </is>
      </c>
      <c r="D75" s="301">
        <f>IF('Tarieven 2026'!$J$4="Hoog",'Tarieven 2026'!E12,'Tarieven 2026'!G12)</f>
        <v/>
      </c>
      <c r="E75" s="269" t="n">
        <v>1</v>
      </c>
      <c r="F75" s="302">
        <f>B75*D75*E75</f>
        <v/>
      </c>
      <c r="G75" s="303" t="inlineStr">
        <is>
          <t>Inspectie-unit conv. 1 man — Tarieven 2026</t>
        </is>
      </c>
    </row>
    <row r="76">
      <c r="A76" s="244" t="inlineStr">
        <is>
          <t>UV-ploeg 4 man</t>
        </is>
      </c>
      <c r="B76" s="269" t="n">
        <v>5</v>
      </c>
      <c r="C76" s="260" t="inlineStr">
        <is>
          <t>dag</t>
        </is>
      </c>
      <c r="D76" s="301">
        <f>'Tarieven 2026'!G34</f>
        <v/>
      </c>
      <c r="E76" s="269" t="n">
        <v>1</v>
      </c>
      <c r="F76" s="302">
        <f>B76*D76*E76</f>
        <v/>
      </c>
      <c r="G76" s="303" t="inlineStr">
        <is>
          <t>UV-ploeg 4 man — Tarieven 2026</t>
        </is>
      </c>
    </row>
    <row r="77">
      <c r="A77" s="244" t="inlineStr">
        <is>
          <t>Stoomploeg klein - drukvat 4 man</t>
        </is>
      </c>
      <c r="B77" s="244" t="n"/>
      <c r="C77" s="260" t="inlineStr">
        <is>
          <t>dag</t>
        </is>
      </c>
      <c r="D77" s="301">
        <f>'Tarieven 2026'!G32</f>
        <v/>
      </c>
      <c r="E77" s="269" t="n">
        <v>1</v>
      </c>
      <c r="F77" s="302">
        <f>B77*D77*E77</f>
        <v/>
      </c>
      <c r="G77" s="303" t="inlineStr">
        <is>
          <t>Viltploeg stoom drukvat 4 man — Tarieven 2026</t>
        </is>
      </c>
    </row>
    <row r="78">
      <c r="A78" s="244" t="inlineStr">
        <is>
          <t>Stoomploeg groot - DGA 6 man</t>
        </is>
      </c>
      <c r="B78" s="244" t="n"/>
      <c r="C78" s="260" t="inlineStr">
        <is>
          <t>dag</t>
        </is>
      </c>
      <c r="D78" s="301">
        <f>'Tarieven 2026'!G33</f>
        <v/>
      </c>
      <c r="E78" s="269" t="n">
        <v>1</v>
      </c>
      <c r="F78" s="302">
        <f>B78*D78*E78</f>
        <v/>
      </c>
      <c r="G78" s="303" t="inlineStr">
        <is>
          <t>Viltploeg stoom DGA 6 man — Tarieven 2026</t>
        </is>
      </c>
    </row>
    <row r="79">
      <c r="A79" s="244" t="inlineStr">
        <is>
          <t>Brandstof stook uren</t>
        </is>
      </c>
      <c r="B79" s="244" t="n"/>
      <c r="C79" s="260" t="inlineStr">
        <is>
          <t>uur</t>
        </is>
      </c>
      <c r="D79" s="270">
        <f>150*2</f>
        <v/>
      </c>
      <c r="E79" s="269" t="n">
        <v>1</v>
      </c>
      <c r="F79" s="302">
        <f>B79*D79*E79</f>
        <v/>
      </c>
      <c r="G79" s="244" t="inlineStr">
        <is>
          <t>150ltr per uur</t>
        </is>
      </c>
    </row>
    <row r="80">
      <c r="A80" s="244" t="inlineStr">
        <is>
          <t>Waterploeg klein - chip 4 man</t>
        </is>
      </c>
      <c r="B80" s="244" t="n"/>
      <c r="C80" s="260" t="inlineStr">
        <is>
          <t>dag</t>
        </is>
      </c>
      <c r="D80" s="301">
        <f>'Tarieven 2026'!G28</f>
        <v/>
      </c>
      <c r="E80" s="269" t="n">
        <v>1</v>
      </c>
      <c r="F80" s="302">
        <f>B80*D80*E80</f>
        <v/>
      </c>
      <c r="G80" s="303" t="inlineStr">
        <is>
          <t>Viltploeg water chip 4 man — Tarieven 2026</t>
        </is>
      </c>
    </row>
    <row r="81">
      <c r="A81" s="244" t="inlineStr">
        <is>
          <t>Waterploeg groot - steiger 6 man</t>
        </is>
      </c>
      <c r="B81" s="244" t="n"/>
      <c r="C81" s="260" t="inlineStr">
        <is>
          <t>dag</t>
        </is>
      </c>
      <c r="D81" s="301">
        <f>'Tarieven 2026'!G29</f>
        <v/>
      </c>
      <c r="E81" s="269" t="n">
        <v>1</v>
      </c>
      <c r="F81" s="302">
        <f>B81*D81*E81</f>
        <v/>
      </c>
      <c r="G81" s="303" t="inlineStr">
        <is>
          <t>Viltploeg water steiger 6 man — Tarieven 2026</t>
        </is>
      </c>
    </row>
    <row r="82">
      <c r="A82" s="244" t="inlineStr">
        <is>
          <t>Brandstof stook uren</t>
        </is>
      </c>
      <c r="B82" s="244" t="n"/>
      <c r="C82" s="260" t="inlineStr">
        <is>
          <t>uur</t>
        </is>
      </c>
      <c r="D82" s="270">
        <f>150*2</f>
        <v/>
      </c>
      <c r="E82" s="269" t="n">
        <v>1</v>
      </c>
      <c r="F82" s="302">
        <f>B82*D82*E82</f>
        <v/>
      </c>
      <c r="G82" s="244" t="inlineStr">
        <is>
          <t>150ltr per uur</t>
        </is>
      </c>
    </row>
    <row r="83">
      <c r="A83" s="244" t="inlineStr">
        <is>
          <t>Water ploeg extra stookwagen</t>
        </is>
      </c>
      <c r="B83" s="244" t="n"/>
      <c r="C83" s="260" t="inlineStr">
        <is>
          <t>dag</t>
        </is>
      </c>
      <c r="D83" s="270">
        <f>+((2*52.5)+28+24)*8</f>
        <v/>
      </c>
      <c r="E83" s="269" t="n">
        <v>1</v>
      </c>
      <c r="F83" s="302">
        <f>B83*D83*E83</f>
        <v/>
      </c>
      <c r="G83" s="244" t="inlineStr">
        <is>
          <t>enkel de stookdagen doorrekenen</t>
        </is>
      </c>
    </row>
    <row r="84">
      <c r="A84" s="244" t="inlineStr">
        <is>
          <t>Brandstof stook uren</t>
        </is>
      </c>
      <c r="B84" s="244" t="n"/>
      <c r="C84" s="260" t="inlineStr">
        <is>
          <t>uur</t>
        </is>
      </c>
      <c r="D84" s="270">
        <f>250*2</f>
        <v/>
      </c>
      <c r="E84" s="269" t="n">
        <v>1</v>
      </c>
      <c r="F84" s="302">
        <f>B84*D84*E84</f>
        <v/>
      </c>
      <c r="G84" s="244" t="inlineStr">
        <is>
          <t>250ltr per uur</t>
        </is>
      </c>
    </row>
    <row r="85">
      <c r="A85" s="244" t="inlineStr">
        <is>
          <t>Wakers - 2 man nachturen</t>
        </is>
      </c>
      <c r="B85" s="244" t="n"/>
      <c r="C85" s="260" t="inlineStr">
        <is>
          <t>nacht</t>
        </is>
      </c>
      <c r="D85" s="301">
        <f>(2*'Tarieven 2026'!$F$26)*12*1.3</f>
        <v/>
      </c>
      <c r="E85" s="269" t="n">
        <v>1</v>
      </c>
      <c r="F85" s="302">
        <f>B85*D85*E85</f>
        <v/>
      </c>
      <c r="G85" s="303" t="inlineStr">
        <is>
          <t>2x operationeel x 12u x nachtfactor 1,3 — Tarieven 2026</t>
        </is>
      </c>
    </row>
    <row r="86">
      <c r="A86" s="244" t="inlineStr">
        <is>
          <t>Wakers - 2 man uitslaapdag</t>
        </is>
      </c>
      <c r="B86" s="244" t="n"/>
      <c r="C86" s="260" t="inlineStr">
        <is>
          <t>dag</t>
        </is>
      </c>
      <c r="D86" s="301">
        <f>(2*'Tarieven 2026'!$F$26)*8</f>
        <v/>
      </c>
      <c r="E86" s="269" t="n">
        <v>1</v>
      </c>
      <c r="F86" s="302">
        <f>B86*D86*E86</f>
        <v/>
      </c>
      <c r="G86" s="303" t="inlineStr">
        <is>
          <t>2x operationeel x 8u — Tarieven 2026</t>
        </is>
      </c>
    </row>
    <row r="87">
      <c r="A87" s="244" t="inlineStr">
        <is>
          <t>Telekraan - 40 tons</t>
        </is>
      </c>
      <c r="B87" s="244" t="n"/>
      <c r="C87" s="260" t="inlineStr">
        <is>
          <t>uur</t>
        </is>
      </c>
      <c r="D87" s="271" t="n">
        <v>145</v>
      </c>
      <c r="E87" s="269" t="n">
        <v>1</v>
      </c>
      <c r="F87" s="302">
        <f>B87*D87*E87</f>
        <v/>
      </c>
      <c r="G87" s="244" t="inlineStr">
        <is>
          <t>Tatrief KVN</t>
        </is>
      </c>
    </row>
    <row r="88">
      <c r="A88" s="244" t="inlineStr">
        <is>
          <t>Kraanauto t.b.v. transport grote liners</t>
        </is>
      </c>
      <c r="B88" s="244" t="n"/>
      <c r="C88" s="260" t="inlineStr">
        <is>
          <t>uur</t>
        </is>
      </c>
      <c r="D88" s="271" t="n">
        <v>155</v>
      </c>
      <c r="E88" s="269" t="n">
        <v>1</v>
      </c>
      <c r="F88" s="302">
        <f>B88*D88*E88</f>
        <v/>
      </c>
      <c r="G88" s="244" t="inlineStr">
        <is>
          <t>Tatrief Westdijk</t>
        </is>
      </c>
    </row>
    <row r="89">
      <c r="A89" s="244" t="inlineStr">
        <is>
          <t>Hotel</t>
        </is>
      </c>
      <c r="B89" s="269" t="n">
        <v>24</v>
      </c>
      <c r="C89" s="260" t="inlineStr">
        <is>
          <t>nacht</t>
        </is>
      </c>
      <c r="D89" s="271" t="n">
        <v>250</v>
      </c>
      <c r="E89" s="269" t="n">
        <v>1</v>
      </c>
      <c r="F89" s="302">
        <f>B89*D89*E89</f>
        <v/>
      </c>
      <c r="G89" s="244" t="inlineStr">
        <is>
          <t>Tarief incl. ontbijt, lunch, diner en vergoeding medewerker</t>
        </is>
      </c>
    </row>
    <row r="90">
      <c r="A90" s="244" t="inlineStr">
        <is>
          <t>Stortkosten slib</t>
        </is>
      </c>
      <c r="B90" s="244" t="n"/>
      <c r="C90" s="260" t="inlineStr">
        <is>
          <t>ton</t>
        </is>
      </c>
      <c r="D90" s="301">
        <f>'Tarieven 2026'!F22</f>
        <v/>
      </c>
      <c r="E90" s="269" t="n">
        <v>1</v>
      </c>
      <c r="F90" s="302">
        <f>D90*B90*E90</f>
        <v/>
      </c>
      <c r="G90" s="303" t="inlineStr">
        <is>
          <t>Stortkosten RKG-slib p/ton — Tarieven 2026</t>
        </is>
      </c>
    </row>
    <row r="91">
      <c r="A91" s="244" t="n"/>
      <c r="B91" s="244" t="n"/>
      <c r="C91" s="260" t="n"/>
      <c r="D91" s="261" t="n"/>
      <c r="E91" s="244" t="n"/>
      <c r="F91" s="300" t="n"/>
      <c r="G91" s="244" t="n"/>
    </row>
    <row r="92">
      <c r="A92" s="265" t="inlineStr">
        <is>
          <t>Oplevering</t>
        </is>
      </c>
      <c r="B92" s="257" t="n"/>
      <c r="C92" s="266" t="n"/>
      <c r="D92" s="267" t="n"/>
      <c r="E92" s="257" t="n"/>
      <c r="F92" s="268" t="n"/>
      <c r="G92" s="257" t="n"/>
    </row>
    <row r="93">
      <c r="A93" s="244" t="inlineStr">
        <is>
          <t>Reiniging</t>
        </is>
      </c>
      <c r="B93" s="269" t="n">
        <v>0.5</v>
      </c>
      <c r="C93" s="260" t="inlineStr">
        <is>
          <t>dag</t>
        </is>
      </c>
      <c r="D93" s="301">
        <f>IF('Tarieven 2026'!$J$4="Hoog",'Tarieven 2026'!E5,'Tarieven 2026'!G5)</f>
        <v/>
      </c>
      <c r="E93" s="269" t="n">
        <v>1</v>
      </c>
      <c r="F93" s="302">
        <f>B93*D93*E93</f>
        <v/>
      </c>
      <c r="G93" s="303" t="inlineStr">
        <is>
          <t>RR combinatie 2 man (0,5 dag) — Tarieven 2026</t>
        </is>
      </c>
    </row>
    <row r="94">
      <c r="A94" s="244" t="inlineStr">
        <is>
          <t>Inspectie</t>
        </is>
      </c>
      <c r="B94" s="269" t="n">
        <v>0.5</v>
      </c>
      <c r="C94" s="260" t="inlineStr">
        <is>
          <t>dag</t>
        </is>
      </c>
      <c r="D94" s="301">
        <f>IF('Tarieven 2026'!$J$4="Hoog",'Tarieven 2026'!E12,'Tarieven 2026'!G12)</f>
        <v/>
      </c>
      <c r="E94" s="269" t="n">
        <v>1</v>
      </c>
      <c r="F94" s="302">
        <f>B94*D94*E94</f>
        <v/>
      </c>
      <c r="G94" s="303" t="inlineStr">
        <is>
          <t>Inspectie-unit conv. 1 man (0,5 dag) — Tarieven 2026</t>
        </is>
      </c>
    </row>
    <row r="95">
      <c r="A95" s="244" t="n"/>
      <c r="B95" s="244" t="n"/>
      <c r="C95" s="260" t="n"/>
      <c r="D95" s="261" t="n"/>
      <c r="E95" s="244" t="n"/>
      <c r="F95" s="300" t="n"/>
      <c r="G95" s="244" t="n"/>
    </row>
    <row r="96" ht="13.5" customHeight="1" thickBot="1">
      <c r="A96" s="265" t="inlineStr">
        <is>
          <t>Materiaal</t>
        </is>
      </c>
      <c r="B96" s="257" t="n"/>
      <c r="C96" s="266" t="n"/>
      <c r="D96" s="267" t="n"/>
      <c r="E96" s="257" t="n"/>
      <c r="F96" s="268" t="n"/>
      <c r="G96" s="257" t="n"/>
      <c r="I96" s="304" t="inlineStr">
        <is>
          <t>kousnr</t>
        </is>
      </c>
      <c r="J96" s="304" t="inlineStr">
        <is>
          <t>straat</t>
        </is>
      </c>
      <c r="K96" s="304" t="inlineStr">
        <is>
          <t>type</t>
        </is>
      </c>
      <c r="L96" s="304" t="inlineStr">
        <is>
          <t>van put</t>
        </is>
      </c>
      <c r="M96" s="304" t="inlineStr">
        <is>
          <t>naar put</t>
        </is>
      </c>
      <c r="N96" s="304" t="inlineStr">
        <is>
          <t>lengte</t>
        </is>
      </c>
      <c r="O96" s="304" t="inlineStr">
        <is>
          <t>dikte</t>
        </is>
      </c>
      <c r="P96" s="304" t="inlineStr">
        <is>
          <t>dia</t>
        </is>
      </c>
      <c r="Q96" s="304" t="inlineStr">
        <is>
          <t>aansl</t>
        </is>
      </c>
      <c r="R96" s="304" t="inlineStr">
        <is>
          <t>Type UV</t>
        </is>
      </c>
      <c r="S96" s="304" t="inlineStr">
        <is>
          <t>liner-soort</t>
        </is>
      </c>
      <c r="T96" s="206" t="inlineStr">
        <is>
          <t>Kolom2</t>
        </is>
      </c>
      <c r="U96" s="207" t="inlineStr">
        <is>
          <t>Inbreng Datum</t>
        </is>
      </c>
      <c r="V96" s="206" t="inlineStr">
        <is>
          <t>Kolom3</t>
        </is>
      </c>
      <c r="W96" s="206" t="inlineStr">
        <is>
          <t>Kolom4</t>
        </is>
      </c>
      <c r="X96" s="206" t="inlineStr">
        <is>
          <t>Kolom5</t>
        </is>
      </c>
      <c r="Y96" s="206" t="inlineStr">
        <is>
          <t>Kolom6</t>
        </is>
      </c>
      <c r="Z96" s="206" t="inlineStr">
        <is>
          <t>Kolom7</t>
        </is>
      </c>
      <c r="AA96" s="206" t="inlineStr">
        <is>
          <t>Kolom8</t>
        </is>
      </c>
      <c r="AB96" s="206" t="inlineStr">
        <is>
          <t>Kolom9</t>
        </is>
      </c>
      <c r="AC96" s="206" t="inlineStr">
        <is>
          <t>Kolom10</t>
        </is>
      </c>
      <c r="AD96" s="206" t="inlineStr">
        <is>
          <t>Kolom11</t>
        </is>
      </c>
    </row>
    <row r="97" ht="14.25" customHeight="1">
      <c r="A97" s="244">
        <f>IF(J97="","",_xlfn.CONCAT("Kous "&amp;I97&amp;" DN"&amp;P97&amp;" - "&amp;O97&amp;"mm - "&amp;N97&amp;"m - ("&amp;J97&amp;")"))</f>
        <v/>
      </c>
      <c r="B97" s="244" t="n"/>
      <c r="C97" s="260" t="inlineStr">
        <is>
          <t>EUR</t>
        </is>
      </c>
      <c r="D97" s="270" t="n">
        <v>1</v>
      </c>
      <c r="E97" s="305" t="n">
        <v>1</v>
      </c>
      <c r="F97" s="302">
        <f>IFERROR(B97*D97*E97,"")</f>
        <v/>
      </c>
      <c r="G97" s="244" t="n"/>
      <c r="I97" s="306" t="n">
        <v>1</v>
      </c>
      <c r="J97" s="306" t="n">
        <v>1</v>
      </c>
      <c r="K97" s="306" t="inlineStr">
        <is>
          <t>UV</t>
        </is>
      </c>
      <c r="L97" s="306" t="inlineStr">
        <is>
          <t>a</t>
        </is>
      </c>
      <c r="M97" s="306" t="inlineStr">
        <is>
          <t>b</t>
        </is>
      </c>
      <c r="N97" s="307" t="n">
        <v>30</v>
      </c>
      <c r="O97" s="306" t="n">
        <v>3</v>
      </c>
      <c r="P97" s="306" t="n">
        <v>500</v>
      </c>
      <c r="Q97" s="306" t="n">
        <v>0</v>
      </c>
      <c r="R97" s="306" t="n"/>
      <c r="S97" s="306" t="n"/>
      <c r="U97" s="308" t="n">
        <v>46023</v>
      </c>
    </row>
    <row r="98">
      <c r="A98" s="244">
        <f>IF(J98="","",_xlfn.CONCAT("Kous "&amp;I98&amp;" DN"&amp;P98&amp;" - "&amp;O98&amp;"mm - "&amp;N98&amp;"m - ("&amp;J98&amp;")"))</f>
        <v/>
      </c>
      <c r="B98" s="305">
        <f>IFERROR(IF($K98="UV",IF($S98="S+ liner",($N98*(INDEX(Prijzen!$C$15:$P$70,MATCH($P98,Prijzen!$B$15:$B$70,0),MATCH($O98,Prijzen!$C$14:$O$14,0)))*0.58),IF($S98="M liner",($N98*(INDEX(Prijzen!$C$2:$P$11,MATCH($P98,Prijzen!$B$2:$B$11,0),MATCH($O98,Prijzen!$C$1:$P$1,0))))*0.58,0)),$N98*INDEX(Prijzen!$C$73:$P$94,MATCH($P98,Prijzen!$B$73:$B$94,0),MATCH($O98,Prijzen!$C$72:$P$72,0))),"")</f>
        <v/>
      </c>
      <c r="C98" s="260" t="inlineStr">
        <is>
          <t>EUR</t>
        </is>
      </c>
      <c r="D98" s="270" t="n">
        <v>1</v>
      </c>
      <c r="E98" s="305" t="n">
        <v>1</v>
      </c>
      <c r="F98" s="302">
        <f>IFERROR(B98*D98*E98,"")</f>
        <v/>
      </c>
      <c r="G98" s="244" t="n"/>
      <c r="I98" s="306" t="n"/>
      <c r="J98" s="306" t="n"/>
      <c r="K98" s="306" t="n"/>
      <c r="L98" s="306" t="n"/>
      <c r="M98" s="306" t="n"/>
      <c r="N98" s="307" t="n"/>
      <c r="O98" s="306" t="n"/>
      <c r="P98" s="306" t="n"/>
      <c r="Q98" s="306" t="n"/>
      <c r="R98" s="306" t="n"/>
      <c r="S98" s="306" t="n"/>
      <c r="U98" s="308" t="n"/>
    </row>
    <row r="99">
      <c r="A99" s="244">
        <f>IF(J99="","",_xlfn.CONCAT("Kous "&amp;I99&amp;" DN"&amp;P99&amp;" - "&amp;O99&amp;"mm - "&amp;N99&amp;"m - ("&amp;J99&amp;")"))</f>
        <v/>
      </c>
      <c r="B99" s="305">
        <f>IFERROR(IF($K99="UV",IF($S99="S+ liner",($N99*(INDEX(Prijzen!$C$15:$P$70,MATCH($P99,Prijzen!$B$15:$B$70,0),MATCH($O99,Prijzen!$C$14:$O$14,0)))*0.58),IF($S99="M liner",($N99*(INDEX(Prijzen!$C$2:$P$11,MATCH($P99,Prijzen!$B$2:$B$11,0),MATCH($O99,Prijzen!$C$1:$P$1,0))))*0.58,0)),$N99*INDEX(Prijzen!$C$73:$P$94,MATCH($P99,Prijzen!$B$73:$B$94,0),MATCH($O99,Prijzen!$C$72:$P$72,0))),"")</f>
        <v/>
      </c>
      <c r="C99" s="260" t="inlineStr">
        <is>
          <t>EUR</t>
        </is>
      </c>
      <c r="D99" s="270" t="n">
        <v>1</v>
      </c>
      <c r="E99" s="305" t="n">
        <v>1</v>
      </c>
      <c r="F99" s="302">
        <f>IFERROR(B99*D99*E99,"")</f>
        <v/>
      </c>
      <c r="G99" s="244" t="n"/>
      <c r="I99" s="306" t="n"/>
      <c r="J99" s="306" t="n"/>
      <c r="K99" s="306" t="n"/>
      <c r="L99" s="306" t="n"/>
      <c r="M99" s="306" t="n"/>
      <c r="N99" s="307" t="n"/>
      <c r="O99" s="306" t="n"/>
      <c r="P99" s="306" t="n"/>
      <c r="Q99" s="306" t="n"/>
      <c r="R99" s="306" t="n"/>
      <c r="S99" s="306" t="n"/>
      <c r="U99" s="308" t="n"/>
    </row>
    <row r="100" hidden="1">
      <c r="A100" s="244">
        <f>IF(J100="","",_xlfn.CONCAT("Kous "&amp;I100&amp;" DN"&amp;P100&amp;" - "&amp;O100&amp;"mm - "&amp;N100&amp;"m - ("&amp;J100&amp;")"))</f>
        <v/>
      </c>
      <c r="B100" s="305">
        <f>IFERROR(IF($K100="UV",IF($S100="S+ liner",($N100*(INDEX(Prijzen!$C$15:$P$70,MATCH($P100,Prijzen!$B$15:$B$70,0),MATCH($O100,Prijzen!$C$14:$O$14,0)))*0.58),IF($S100="M liner",($N100*(INDEX(Prijzen!$C$2:$P$11,MATCH($P100,Prijzen!$B$2:$B$11,0),MATCH($O100,Prijzen!$C$1:$P$1,0))))*0.58,0)),$N100*INDEX(Prijzen!$C$73:$P$94,MATCH($P100,Prijzen!$B$73:$B$94,0),MATCH($O100,Prijzen!$C$72:$P$72,0))),"")</f>
        <v/>
      </c>
      <c r="C100" s="260" t="inlineStr">
        <is>
          <t>EUR</t>
        </is>
      </c>
      <c r="D100" s="270" t="n">
        <v>1</v>
      </c>
      <c r="E100" s="305" t="n">
        <v>1</v>
      </c>
      <c r="F100" s="302">
        <f>IFERROR(B100*D100*E100,"")</f>
        <v/>
      </c>
      <c r="G100" s="244" t="n"/>
      <c r="I100" s="306" t="n"/>
      <c r="J100" s="306" t="n"/>
      <c r="K100" s="306" t="n"/>
      <c r="L100" s="306" t="n"/>
      <c r="M100" s="306" t="n"/>
      <c r="N100" s="307" t="n"/>
      <c r="O100" s="306" t="n"/>
      <c r="P100" s="306" t="n"/>
      <c r="Q100" s="306" t="n"/>
      <c r="R100" s="306" t="n"/>
      <c r="S100" s="306" t="n"/>
      <c r="U100" s="308" t="n"/>
    </row>
    <row r="101" hidden="1">
      <c r="A101" s="244">
        <f>IF(J101="","",_xlfn.CONCAT("Kous "&amp;I101&amp;" DN"&amp;P101&amp;" - "&amp;O101&amp;"mm - "&amp;N101&amp;"m - ("&amp;J101&amp;")"))</f>
        <v/>
      </c>
      <c r="B101" s="305">
        <f>IFERROR(IF($K101="UV",IF($S101="S+ liner",($N101*(INDEX(Prijzen!$C$15:$P$70,MATCH($P101,Prijzen!$B$15:$B$70,0),MATCH($O101,Prijzen!$C$14:$O$14,0)))*0.58),IF($S101="M liner",($N101*(INDEX(Prijzen!$C$2:$P$11,MATCH($P101,Prijzen!$B$2:$B$11,0),MATCH($O101,Prijzen!$C$1:$P$1,0))))*0.58,0)),$N101*INDEX(Prijzen!$C$73:$P$94,MATCH($P101,Prijzen!$B$73:$B$94,0),MATCH($O101,Prijzen!$C$72:$P$72,0))),"")</f>
        <v/>
      </c>
      <c r="C101" s="260" t="inlineStr">
        <is>
          <t>EUR</t>
        </is>
      </c>
      <c r="D101" s="270" t="n">
        <v>1</v>
      </c>
      <c r="E101" s="305" t="n">
        <v>1</v>
      </c>
      <c r="F101" s="302">
        <f>IFERROR(B101*D101*E101,"")</f>
        <v/>
      </c>
      <c r="G101" s="244" t="n"/>
      <c r="I101" s="306" t="n"/>
      <c r="J101" s="306" t="n"/>
      <c r="K101" s="306" t="n"/>
      <c r="L101" s="306" t="n"/>
      <c r="M101" s="306" t="n"/>
      <c r="N101" s="307" t="n"/>
      <c r="O101" s="306" t="n"/>
      <c r="P101" s="306" t="n"/>
      <c r="Q101" s="306" t="n"/>
      <c r="R101" s="306" t="n"/>
      <c r="S101" s="306" t="n"/>
      <c r="U101" s="308" t="n"/>
    </row>
    <row r="102" hidden="1">
      <c r="A102" s="244">
        <f>IF(J102="","",_xlfn.CONCAT("Kous "&amp;I102&amp;" DN"&amp;P102&amp;" - "&amp;O102&amp;"mm - "&amp;N102&amp;"m - ("&amp;J102&amp;")"))</f>
        <v/>
      </c>
      <c r="B102" s="305">
        <f>IFERROR(IF($K102="UV",IF($S102="S+ liner",($N102*(INDEX(Prijzen!$C$15:$P$70,MATCH($P102,Prijzen!$B$15:$B$70,0),MATCH($O102,Prijzen!$C$14:$O$14,0)))*0.58),IF($S102="M liner",($N102*(INDEX(Prijzen!$C$2:$P$11,MATCH($P102,Prijzen!$B$2:$B$11,0),MATCH($O102,Prijzen!$C$1:$P$1,0))))*0.58,0)),$N102*INDEX(Prijzen!$C$73:$P$94,MATCH($P102,Prijzen!$B$73:$B$94,0),MATCH($O102,Prijzen!$C$72:$P$72,0))),"")</f>
        <v/>
      </c>
      <c r="C102" s="260" t="inlineStr">
        <is>
          <t>EUR</t>
        </is>
      </c>
      <c r="D102" s="270" t="n">
        <v>1</v>
      </c>
      <c r="E102" s="305" t="n">
        <v>1</v>
      </c>
      <c r="F102" s="302">
        <f>IFERROR(B102*D102*E102,"")</f>
        <v/>
      </c>
      <c r="G102" s="244" t="n"/>
      <c r="I102" s="306" t="n"/>
      <c r="J102" s="306" t="n"/>
      <c r="K102" s="306" t="n"/>
      <c r="L102" s="306" t="n"/>
      <c r="M102" s="306" t="n"/>
      <c r="N102" s="307" t="n"/>
      <c r="O102" s="306" t="n"/>
      <c r="P102" s="306" t="n"/>
      <c r="Q102" s="306" t="n"/>
      <c r="R102" s="306" t="n"/>
      <c r="S102" s="306" t="n"/>
      <c r="U102" s="308" t="n"/>
    </row>
    <row r="103" hidden="1">
      <c r="A103" s="244">
        <f>IF(J103="","",_xlfn.CONCAT("Kous "&amp;I103&amp;" DN"&amp;P103&amp;" - "&amp;O103&amp;"mm - "&amp;N103&amp;"m - ("&amp;J103&amp;")"))</f>
        <v/>
      </c>
      <c r="B103" s="305">
        <f>IFERROR(IF($K103="UV",IF($S103="S+ liner",($N103*(INDEX(Prijzen!$C$15:$P$70,MATCH($P103,Prijzen!$B$15:$B$70,0),MATCH($O103,Prijzen!$C$14:$O$14,0)))*0.58),IF($S103="M liner",($N103*(INDEX(Prijzen!$C$2:$P$11,MATCH($P103,Prijzen!$B$2:$B$11,0),MATCH($O103,Prijzen!$C$1:$P$1,0))))*0.58,0)),$N103*INDEX(Prijzen!$C$73:$P$94,MATCH($P103,Prijzen!$B$73:$B$94,0),MATCH($O103,Prijzen!$C$72:$P$72,0))),"")</f>
        <v/>
      </c>
      <c r="C103" s="260" t="inlineStr">
        <is>
          <t>EUR</t>
        </is>
      </c>
      <c r="D103" s="270" t="n">
        <v>1</v>
      </c>
      <c r="E103" s="305" t="n">
        <v>1</v>
      </c>
      <c r="F103" s="302">
        <f>IFERROR(B103*D103*E103,"")</f>
        <v/>
      </c>
      <c r="G103" s="244" t="n"/>
      <c r="I103" s="306" t="n"/>
      <c r="J103" s="306" t="n"/>
      <c r="K103" s="306" t="n"/>
      <c r="L103" s="306" t="n"/>
      <c r="M103" s="306" t="n"/>
      <c r="N103" s="307" t="n"/>
      <c r="O103" s="306" t="n"/>
      <c r="P103" s="306" t="n"/>
      <c r="Q103" s="306" t="n"/>
      <c r="R103" s="306" t="n"/>
      <c r="S103" s="306" t="n"/>
      <c r="U103" s="308" t="n"/>
    </row>
    <row r="104" hidden="1">
      <c r="A104" s="244">
        <f>IF(J104="","",_xlfn.CONCAT("Kous "&amp;I104&amp;" DN"&amp;P104&amp;" - "&amp;O104&amp;"mm - "&amp;N104&amp;"m - ("&amp;J104&amp;")"))</f>
        <v/>
      </c>
      <c r="B104" s="305">
        <f>IFERROR(IF($K104="UV",IF($S104="S+ liner",($N104*(INDEX(Prijzen!$C$15:$P$70,MATCH($P104,Prijzen!$B$15:$B$70,0),MATCH($O104,Prijzen!$C$14:$O$14,0)))*0.58),IF($S104="M liner",($N104*(INDEX(Prijzen!$C$2:$P$11,MATCH($P104,Prijzen!$B$2:$B$11,0),MATCH($O104,Prijzen!$C$1:$P$1,0))))*0.58,0)),$N104*INDEX(Prijzen!$C$73:$P$94,MATCH($P104,Prijzen!$B$73:$B$94,0),MATCH($O104,Prijzen!$C$72:$P$72,0))),"")</f>
        <v/>
      </c>
      <c r="C104" s="260" t="inlineStr">
        <is>
          <t>EUR</t>
        </is>
      </c>
      <c r="D104" s="270" t="n">
        <v>1</v>
      </c>
      <c r="E104" s="305" t="n">
        <v>1</v>
      </c>
      <c r="F104" s="302">
        <f>IFERROR(B104*D104*E104,"")</f>
        <v/>
      </c>
      <c r="G104" s="244" t="n"/>
      <c r="I104" s="306" t="n"/>
      <c r="J104" s="306" t="n"/>
      <c r="K104" s="306" t="n"/>
      <c r="L104" s="306" t="n"/>
      <c r="M104" s="306" t="n"/>
      <c r="N104" s="307" t="n"/>
      <c r="O104" s="306" t="n"/>
      <c r="P104" s="306" t="n"/>
      <c r="Q104" s="306" t="n"/>
      <c r="R104" s="306" t="n"/>
      <c r="S104" s="306" t="n"/>
      <c r="U104" s="308" t="n"/>
    </row>
    <row r="105" hidden="1">
      <c r="A105" s="244">
        <f>IF(J105="","",_xlfn.CONCAT("Kous "&amp;I105&amp;" DN"&amp;P105&amp;" - "&amp;O105&amp;"mm - "&amp;N105&amp;"m - ("&amp;J105&amp;")"))</f>
        <v/>
      </c>
      <c r="B105" s="305">
        <f>IFERROR(IF($K105="UV",IF($S105="S+ liner",($N105*(INDEX(Prijzen!$C$15:$P$70,MATCH($P105,Prijzen!$B$15:$B$70,0),MATCH($O105,Prijzen!$C$14:$O$14,0)))*0.58),IF($S105="M liner",($N105*(INDEX(Prijzen!$C$2:$P$11,MATCH($P105,Prijzen!$B$2:$B$11,0),MATCH($O105,Prijzen!$C$1:$P$1,0))))*0.58,0)),$N105*INDEX(Prijzen!$C$73:$P$94,MATCH($P105,Prijzen!$B$73:$B$94,0),MATCH($O105,Prijzen!$C$72:$P$72,0))),"")</f>
        <v/>
      </c>
      <c r="C105" s="260" t="inlineStr">
        <is>
          <t>EUR</t>
        </is>
      </c>
      <c r="D105" s="270" t="n">
        <v>1</v>
      </c>
      <c r="E105" s="305" t="n">
        <v>1</v>
      </c>
      <c r="F105" s="302">
        <f>IFERROR(B105*D105*E105,"")</f>
        <v/>
      </c>
      <c r="G105" s="244" t="n"/>
      <c r="I105" s="306" t="n"/>
      <c r="J105" s="306" t="n"/>
      <c r="K105" s="306" t="n"/>
      <c r="L105" s="306" t="n"/>
      <c r="M105" s="306" t="n"/>
      <c r="N105" s="307" t="n"/>
      <c r="O105" s="306" t="n"/>
      <c r="P105" s="306" t="n"/>
      <c r="Q105" s="306" t="n"/>
      <c r="R105" s="306" t="n"/>
      <c r="S105" s="306" t="n"/>
      <c r="U105" s="308" t="n"/>
    </row>
    <row r="106" hidden="1">
      <c r="A106" s="244">
        <f>IF(J106="","",_xlfn.CONCAT("Kous "&amp;I106&amp;" DN"&amp;P106&amp;" - "&amp;O106&amp;"mm - "&amp;N106&amp;"m - ("&amp;J106&amp;")"))</f>
        <v/>
      </c>
      <c r="B106" s="305">
        <f>IFERROR(IF($K106="UV",IF($S106="S+ liner",($N106*(INDEX(Prijzen!$C$15:$P$70,MATCH($P106,Prijzen!$B$15:$B$70,0),MATCH($O106,Prijzen!$C$14:$O$14,0)))*0.58),IF($S106="M liner",($N106*(INDEX(Prijzen!$C$2:$P$11,MATCH($P106,Prijzen!$B$2:$B$11,0),MATCH($O106,Prijzen!$C$1:$P$1,0))))*0.58,0)),$N106*INDEX(Prijzen!$C$73:$P$94,MATCH($P106,Prijzen!$B$73:$B$94,0),MATCH($O106,Prijzen!$C$72:$P$72,0))),"")</f>
        <v/>
      </c>
      <c r="C106" s="260" t="inlineStr">
        <is>
          <t>EUR</t>
        </is>
      </c>
      <c r="D106" s="270" t="n">
        <v>1</v>
      </c>
      <c r="E106" s="305" t="n">
        <v>1</v>
      </c>
      <c r="F106" s="302">
        <f>IFERROR(B106*D106*E106,"")</f>
        <v/>
      </c>
      <c r="G106" s="244" t="n"/>
      <c r="I106" s="306" t="n"/>
      <c r="J106" s="306" t="n"/>
      <c r="K106" s="306" t="n"/>
      <c r="L106" s="306" t="n"/>
      <c r="M106" s="306" t="n"/>
      <c r="N106" s="307" t="n"/>
      <c r="O106" s="306" t="n"/>
      <c r="P106" s="306" t="n"/>
      <c r="Q106" s="306" t="n"/>
      <c r="R106" s="306" t="n"/>
      <c r="S106" s="306" t="n"/>
      <c r="U106" s="308" t="n"/>
    </row>
    <row r="107" hidden="1">
      <c r="A107" s="244">
        <f>IF(J107="","",_xlfn.CONCAT("Kous "&amp;I107&amp;" DN"&amp;P107&amp;" - "&amp;O107&amp;"mm - "&amp;N107&amp;"m - ("&amp;J107&amp;")"))</f>
        <v/>
      </c>
      <c r="B107" s="305">
        <f>IFERROR(IF($K107="UV",IF($S107="S+ liner",($N107*(INDEX(Prijzen!$C$15:$P$70,MATCH($P107,Prijzen!$B$15:$B$70,0),MATCH($O107,Prijzen!$C$14:$O$14,0)))*0.58),IF($S107="M liner",($N107*(INDEX(Prijzen!$C$2:$P$11,MATCH($P107,Prijzen!$B$2:$B$11,0),MATCH($O107,Prijzen!$C$1:$P$1,0))))*0.58,0)),$N107*INDEX(Prijzen!$C$73:$P$94,MATCH($P107,Prijzen!$B$73:$B$94,0),MATCH($O107,Prijzen!$C$72:$P$72,0))),"")</f>
        <v/>
      </c>
      <c r="C107" s="260" t="inlineStr">
        <is>
          <t>EUR</t>
        </is>
      </c>
      <c r="D107" s="270" t="n">
        <v>1</v>
      </c>
      <c r="E107" s="305" t="n">
        <v>1</v>
      </c>
      <c r="F107" s="302">
        <f>IFERROR(B107*D107*E107,"")</f>
        <v/>
      </c>
      <c r="G107" s="244" t="n"/>
      <c r="I107" s="306" t="n"/>
      <c r="J107" s="306" t="n"/>
      <c r="K107" s="306" t="n"/>
      <c r="L107" s="306" t="n"/>
      <c r="M107" s="306" t="n"/>
      <c r="N107" s="307" t="n"/>
      <c r="O107" s="306" t="n"/>
      <c r="P107" s="306" t="n"/>
      <c r="Q107" s="306" t="n"/>
      <c r="R107" s="306" t="n"/>
      <c r="S107" s="306" t="n"/>
      <c r="U107" s="308" t="n"/>
    </row>
    <row r="108" hidden="1">
      <c r="A108" s="244">
        <f>IF(J108="","",_xlfn.CONCAT("Kous "&amp;I108&amp;" DN"&amp;P108&amp;" - "&amp;O108&amp;"mm - "&amp;N108&amp;"m - ("&amp;J108&amp;")"))</f>
        <v/>
      </c>
      <c r="B108" s="305">
        <f>IFERROR(IF($K108="UV",IF($S108="S+ liner",($N108*(INDEX(Prijzen!$C$15:$P$70,MATCH($P108,Prijzen!$B$15:$B$70,0),MATCH($O108,Prijzen!$C$14:$O$14,0)))*0.58),IF($S108="M liner",($N108*(INDEX(Prijzen!$C$2:$P$11,MATCH($P108,Prijzen!$B$2:$B$11,0),MATCH($O108,Prijzen!$C$1:$P$1,0))))*0.58,0)),$N108*INDEX(Prijzen!$C$73:$P$94,MATCH($P108,Prijzen!$B$73:$B$94,0),MATCH($O108,Prijzen!$C$72:$P$72,0))),"")</f>
        <v/>
      </c>
      <c r="C108" s="260" t="inlineStr">
        <is>
          <t>EUR</t>
        </is>
      </c>
      <c r="D108" s="270" t="n">
        <v>1</v>
      </c>
      <c r="E108" s="305" t="n">
        <v>1</v>
      </c>
      <c r="F108" s="302">
        <f>IFERROR(B108*D108*E108,"")</f>
        <v/>
      </c>
      <c r="G108" s="244" t="n"/>
      <c r="I108" s="306" t="n"/>
      <c r="J108" s="306" t="n"/>
      <c r="K108" s="306" t="n"/>
      <c r="L108" s="306" t="n"/>
      <c r="M108" s="306" t="n"/>
      <c r="N108" s="307" t="n"/>
      <c r="O108" s="306" t="n"/>
      <c r="P108" s="306" t="n"/>
      <c r="Q108" s="306" t="n"/>
      <c r="R108" s="306" t="n"/>
      <c r="S108" s="306" t="n"/>
      <c r="U108" s="308" t="n"/>
    </row>
    <row r="109" hidden="1">
      <c r="A109" s="244">
        <f>IF(J109="","",_xlfn.CONCAT("Kous "&amp;I109&amp;" DN"&amp;P109&amp;" - "&amp;O109&amp;"mm - "&amp;N109&amp;"m - ("&amp;J109&amp;")"))</f>
        <v/>
      </c>
      <c r="B109" s="305">
        <f>IFERROR(IF($K109="UV",IF($S109="S+ liner",($N109*(INDEX(Prijzen!$C$15:$P$70,MATCH($P109,Prijzen!$B$15:$B$70,0),MATCH($O109,Prijzen!$C$14:$O$14,0)))*0.58),IF($S109="M liner",($N109*(INDEX(Prijzen!$C$2:$P$11,MATCH($P109,Prijzen!$B$2:$B$11,0),MATCH($O109,Prijzen!$C$1:$P$1,0))))*0.58,0)),$N109*INDEX(Prijzen!$C$73:$P$94,MATCH($P109,Prijzen!$B$73:$B$94,0),MATCH($O109,Prijzen!$C$72:$P$72,0))),"")</f>
        <v/>
      </c>
      <c r="C109" s="260" t="inlineStr">
        <is>
          <t>EUR</t>
        </is>
      </c>
      <c r="D109" s="270" t="n">
        <v>1</v>
      </c>
      <c r="E109" s="305" t="n">
        <v>1</v>
      </c>
      <c r="F109" s="302">
        <f>IFERROR(B109*D109*E109,"")</f>
        <v/>
      </c>
      <c r="G109" s="244" t="n"/>
      <c r="I109" s="306" t="n"/>
      <c r="J109" s="306" t="n"/>
      <c r="K109" s="306" t="n"/>
      <c r="L109" s="306" t="n"/>
      <c r="M109" s="306" t="n"/>
      <c r="N109" s="307" t="n"/>
      <c r="O109" s="306" t="n"/>
      <c r="P109" s="306" t="n"/>
      <c r="Q109" s="306" t="n"/>
      <c r="R109" s="306" t="n"/>
      <c r="S109" s="306" t="n"/>
      <c r="U109" s="308" t="n"/>
    </row>
    <row r="110" hidden="1">
      <c r="A110" s="244">
        <f>IF(J110="","",_xlfn.CONCAT("Kous "&amp;I110&amp;" DN"&amp;P110&amp;" - "&amp;O110&amp;"mm - "&amp;N110&amp;"m - ("&amp;J110&amp;")"))</f>
        <v/>
      </c>
      <c r="B110" s="305">
        <f>IFERROR(IF($K110="UV",IF($S110="S+ liner",($N110*(INDEX(Prijzen!$C$15:$P$70,MATCH($P110,Prijzen!$B$15:$B$70,0),MATCH($O110,Prijzen!$C$14:$O$14,0)))*0.58),IF($S110="M liner",($N110*(INDEX(Prijzen!$C$2:$P$11,MATCH($P110,Prijzen!$B$2:$B$11,0),MATCH($O110,Prijzen!$C$1:$P$1,0))))*0.58,0)),$N110*INDEX(Prijzen!$C$73:$P$94,MATCH($P110,Prijzen!$B$73:$B$94,0),MATCH($O110,Prijzen!$C$72:$P$72,0))),"")</f>
        <v/>
      </c>
      <c r="C110" s="260" t="inlineStr">
        <is>
          <t>EUR</t>
        </is>
      </c>
      <c r="D110" s="270" t="n">
        <v>1</v>
      </c>
      <c r="E110" s="305" t="n">
        <v>1</v>
      </c>
      <c r="F110" s="302">
        <f>IFERROR(B110*D110*E110,"")</f>
        <v/>
      </c>
      <c r="G110" s="244" t="n"/>
      <c r="I110" s="306" t="n"/>
      <c r="J110" s="306" t="n"/>
      <c r="K110" s="306" t="n"/>
      <c r="L110" s="306" t="n"/>
      <c r="M110" s="306" t="n"/>
      <c r="N110" s="307" t="n"/>
      <c r="O110" s="306" t="n"/>
      <c r="P110" s="306" t="n"/>
      <c r="Q110" s="306" t="n"/>
      <c r="R110" s="306" t="n"/>
      <c r="S110" s="306" t="n"/>
      <c r="U110" s="308" t="n"/>
    </row>
    <row r="111" hidden="1">
      <c r="A111" s="244">
        <f>IF(J111="","",_xlfn.CONCAT("Kous "&amp;I111&amp;" DN"&amp;P111&amp;" - "&amp;O111&amp;"mm - "&amp;N111&amp;"m - ("&amp;J111&amp;")"))</f>
        <v/>
      </c>
      <c r="B111" s="305">
        <f>IFERROR(IF($K111="UV",IF($S111="S+ liner",($N111*(INDEX(Prijzen!$C$15:$P$70,MATCH($P111,Prijzen!$B$15:$B$70,0),MATCH($O111,Prijzen!$C$14:$O$14,0)))*0.58),IF($S111="M liner",($N111*(INDEX(Prijzen!$C$2:$P$11,MATCH($P111,Prijzen!$B$2:$B$11,0),MATCH($O111,Prijzen!$C$1:$P$1,0))))*0.58,0)),$N111*INDEX(Prijzen!$C$73:$P$94,MATCH($P111,Prijzen!$B$73:$B$94,0),MATCH($O111,Prijzen!$C$72:$P$72,0))),"")</f>
        <v/>
      </c>
      <c r="C111" s="260" t="inlineStr">
        <is>
          <t>EUR</t>
        </is>
      </c>
      <c r="D111" s="270" t="n">
        <v>1</v>
      </c>
      <c r="E111" s="305" t="n">
        <v>1</v>
      </c>
      <c r="F111" s="302">
        <f>IFERROR(B111*D111*E111,"")</f>
        <v/>
      </c>
      <c r="G111" s="244" t="n"/>
      <c r="I111" s="306" t="n"/>
      <c r="J111" s="306" t="n"/>
      <c r="K111" s="306" t="n"/>
      <c r="L111" s="306" t="n"/>
      <c r="M111" s="306" t="n"/>
      <c r="N111" s="307" t="n"/>
      <c r="O111" s="306" t="n"/>
      <c r="P111" s="306" t="n"/>
      <c r="Q111" s="306" t="n"/>
      <c r="R111" s="306" t="n"/>
      <c r="S111" s="306" t="n"/>
      <c r="U111" s="308" t="n"/>
    </row>
    <row r="112" hidden="1">
      <c r="A112" s="244">
        <f>IF(J112="","",_xlfn.CONCAT("Kous "&amp;I112&amp;" DN"&amp;P112&amp;" - "&amp;O112&amp;"mm - "&amp;N112&amp;"m - ("&amp;J112&amp;")"))</f>
        <v/>
      </c>
      <c r="B112" s="305">
        <f>IFERROR(IF($K112="UV",IF($S112="S+ liner",($N112*(INDEX(Prijzen!$C$15:$P$70,MATCH($P112,Prijzen!$B$15:$B$70,0),MATCH($O112,Prijzen!$C$14:$O$14,0)))*0.58),IF($S112="M liner",($N112*(INDEX(Prijzen!$C$2:$P$11,MATCH($P112,Prijzen!$B$2:$B$11,0),MATCH($O112,Prijzen!$C$1:$P$1,0))))*0.58,0)),$N112*INDEX(Prijzen!$C$73:$P$94,MATCH($P112,Prijzen!$B$73:$B$94,0),MATCH($O112,Prijzen!$C$72:$P$72,0))),"")</f>
        <v/>
      </c>
      <c r="C112" s="260" t="inlineStr">
        <is>
          <t>EUR</t>
        </is>
      </c>
      <c r="D112" s="270" t="n">
        <v>1</v>
      </c>
      <c r="E112" s="305" t="n">
        <v>1</v>
      </c>
      <c r="F112" s="302">
        <f>IFERROR(B112*D112*E112,"")</f>
        <v/>
      </c>
      <c r="G112" s="244" t="n"/>
      <c r="I112" s="306" t="n"/>
      <c r="J112" s="306" t="n"/>
      <c r="K112" s="306" t="n"/>
      <c r="L112" s="306" t="n"/>
      <c r="M112" s="306" t="n"/>
      <c r="N112" s="307" t="n"/>
      <c r="O112" s="306" t="n"/>
      <c r="P112" s="306" t="n"/>
      <c r="Q112" s="306" t="n"/>
      <c r="R112" s="306" t="n"/>
      <c r="S112" s="306" t="n"/>
      <c r="U112" s="308" t="n"/>
    </row>
    <row r="113" hidden="1">
      <c r="A113" s="244">
        <f>IF(J113="","",_xlfn.CONCAT("Kous "&amp;I113&amp;" DN"&amp;P113&amp;" - "&amp;O113&amp;"mm - "&amp;N113&amp;"m - ("&amp;J113&amp;")"))</f>
        <v/>
      </c>
      <c r="B113" s="305">
        <f>IFERROR(IF($K113="UV",IF($S113="S+ liner",($N113*(INDEX(Prijzen!$C$15:$P$70,MATCH($P113,Prijzen!$B$15:$B$70,0),MATCH($O113,Prijzen!$C$14:$O$14,0)))*0.58),IF($S113="M liner",($N113*(INDEX(Prijzen!$C$2:$P$11,MATCH($P113,Prijzen!$B$2:$B$11,0),MATCH($O113,Prijzen!$C$1:$P$1,0))))*0.58,0)),$N113*INDEX(Prijzen!$C$73:$P$94,MATCH($P113,Prijzen!$B$73:$B$94,0),MATCH($O113,Prijzen!$C$72:$P$72,0))),"")</f>
        <v/>
      </c>
      <c r="C113" s="260" t="inlineStr">
        <is>
          <t>EUR</t>
        </is>
      </c>
      <c r="D113" s="270" t="n">
        <v>1</v>
      </c>
      <c r="E113" s="305" t="n">
        <v>1</v>
      </c>
      <c r="F113" s="302">
        <f>IFERROR(B113*D113*E113,"")</f>
        <v/>
      </c>
      <c r="G113" s="244" t="n"/>
      <c r="I113" s="306" t="n"/>
      <c r="J113" s="306" t="n"/>
      <c r="K113" s="306" t="n"/>
      <c r="L113" s="306" t="n"/>
      <c r="M113" s="306" t="n"/>
      <c r="N113" s="307" t="n"/>
      <c r="O113" s="306" t="n"/>
      <c r="P113" s="306" t="n"/>
      <c r="Q113" s="306" t="n"/>
      <c r="R113" s="306" t="n"/>
      <c r="S113" s="306" t="n"/>
      <c r="U113" s="308" t="n"/>
    </row>
    <row r="114" hidden="1">
      <c r="A114" s="244">
        <f>IF(J114="","",_xlfn.CONCAT("Kous "&amp;I114&amp;" DN"&amp;P114&amp;" - "&amp;O114&amp;"mm - "&amp;N114&amp;"m - ("&amp;J114&amp;")"))</f>
        <v/>
      </c>
      <c r="B114" s="305">
        <f>IFERROR(IF($K114="UV",IF($S114="S+ liner",($N114*(INDEX(Prijzen!$C$15:$P$70,MATCH($P114,Prijzen!$B$15:$B$70,0),MATCH($O114,Prijzen!$C$14:$O$14,0)))*0.58),IF($S114="M liner",($N114*(INDEX(Prijzen!$C$2:$P$11,MATCH($P114,Prijzen!$B$2:$B$11,0),MATCH($O114,Prijzen!$C$1:$P$1,0))))*0.58,0)),$N114*INDEX(Prijzen!$C$73:$P$94,MATCH($P114,Prijzen!$B$73:$B$94,0),MATCH($O114,Prijzen!$C$72:$P$72,0))),"")</f>
        <v/>
      </c>
      <c r="C114" s="260" t="inlineStr">
        <is>
          <t>EUR</t>
        </is>
      </c>
      <c r="D114" s="270" t="n">
        <v>1</v>
      </c>
      <c r="E114" s="305" t="n">
        <v>1</v>
      </c>
      <c r="F114" s="302">
        <f>IFERROR(B114*D114*E114,"")</f>
        <v/>
      </c>
      <c r="G114" s="244" t="n"/>
      <c r="I114" s="306" t="n"/>
      <c r="J114" s="306" t="n"/>
      <c r="K114" s="306" t="n"/>
      <c r="L114" s="306" t="n"/>
      <c r="M114" s="306" t="n"/>
      <c r="N114" s="307" t="n"/>
      <c r="O114" s="306" t="n"/>
      <c r="P114" s="306" t="n"/>
      <c r="Q114" s="306" t="n"/>
      <c r="R114" s="306" t="n"/>
      <c r="S114" s="306" t="n"/>
      <c r="U114" s="308" t="n"/>
    </row>
    <row r="115" hidden="1">
      <c r="A115" s="244">
        <f>IF(J115="","",_xlfn.CONCAT("Kous "&amp;I115&amp;" DN"&amp;P115&amp;" - "&amp;O115&amp;"mm - "&amp;N115&amp;"m - ("&amp;J115&amp;")"))</f>
        <v/>
      </c>
      <c r="B115" s="305">
        <f>IFERROR(IF($K115="UV",IF($S115="S+ liner",($N115*(INDEX(Prijzen!$C$15:$P$70,MATCH($P115,Prijzen!$B$15:$B$70,0),MATCH($O115,Prijzen!$C$14:$O$14,0)))*0.58),IF($S115="M liner",($N115*(INDEX(Prijzen!$C$2:$P$11,MATCH($P115,Prijzen!$B$2:$B$11,0),MATCH($O115,Prijzen!$C$1:$P$1,0))))*0.58,0)),$N115*INDEX(Prijzen!$C$73:$P$94,MATCH($P115,Prijzen!$B$73:$B$94,0),MATCH($O115,Prijzen!$C$72:$P$72,0))),"")</f>
        <v/>
      </c>
      <c r="C115" s="260" t="inlineStr">
        <is>
          <t>EUR</t>
        </is>
      </c>
      <c r="D115" s="270" t="n">
        <v>1</v>
      </c>
      <c r="E115" s="305" t="n">
        <v>1</v>
      </c>
      <c r="F115" s="302">
        <f>IFERROR(B115*D115*E115,"")</f>
        <v/>
      </c>
      <c r="G115" s="244" t="n"/>
      <c r="I115" s="306" t="n"/>
      <c r="J115" s="306" t="n"/>
      <c r="K115" s="306" t="n"/>
      <c r="L115" s="306" t="n"/>
      <c r="M115" s="306" t="n"/>
      <c r="N115" s="307" t="n"/>
      <c r="O115" s="306" t="n"/>
      <c r="P115" s="306" t="n"/>
      <c r="Q115" s="306" t="n"/>
      <c r="R115" s="306" t="n"/>
      <c r="S115" s="306" t="n"/>
      <c r="U115" s="308" t="n"/>
    </row>
    <row r="116" hidden="1">
      <c r="A116" s="244">
        <f>IF(J116="","",_xlfn.CONCAT("Kous "&amp;I116&amp;" DN"&amp;P116&amp;" - "&amp;O116&amp;"mm - "&amp;N116&amp;"m - ("&amp;J116&amp;")"))</f>
        <v/>
      </c>
      <c r="B116" s="305">
        <f>IFERROR(IF($K116="UV",IF($S116="S+ liner",($N116*(INDEX(Prijzen!$C$15:$P$70,MATCH($P116,Prijzen!$B$15:$B$70,0),MATCH($O116,Prijzen!$C$14:$O$14,0)))*0.58),IF($S116="M liner",($N116*(INDEX(Prijzen!$C$2:$P$11,MATCH($P116,Prijzen!$B$2:$B$11,0),MATCH($O116,Prijzen!$C$1:$P$1,0))))*0.58,0)),$N116*INDEX(Prijzen!$C$73:$P$94,MATCH($P116,Prijzen!$B$73:$B$94,0),MATCH($O116,Prijzen!$C$72:$P$72,0))),"")</f>
        <v/>
      </c>
      <c r="C116" s="260" t="inlineStr">
        <is>
          <t>EUR</t>
        </is>
      </c>
      <c r="D116" s="270" t="n">
        <v>1</v>
      </c>
      <c r="E116" s="305" t="n">
        <v>1</v>
      </c>
      <c r="F116" s="302">
        <f>IFERROR(B116*D116*E116,"")</f>
        <v/>
      </c>
      <c r="G116" s="244" t="n"/>
      <c r="I116" s="306" t="n"/>
      <c r="J116" s="306" t="n"/>
      <c r="K116" s="306" t="n"/>
      <c r="L116" s="306" t="n"/>
      <c r="M116" s="306" t="n"/>
      <c r="N116" s="307" t="n"/>
      <c r="O116" s="306" t="n"/>
      <c r="P116" s="306" t="n"/>
      <c r="Q116" s="306" t="n"/>
      <c r="R116" s="306" t="n"/>
      <c r="S116" s="306" t="n"/>
      <c r="U116" s="308" t="n"/>
    </row>
    <row r="117" hidden="1">
      <c r="A117" s="244">
        <f>IF(J117="","",_xlfn.CONCAT("Kous "&amp;I117&amp;" DN"&amp;P117&amp;" - "&amp;O117&amp;"mm - "&amp;N117&amp;"m - ("&amp;J117&amp;")"))</f>
        <v/>
      </c>
      <c r="B117" s="305">
        <f>IFERROR(IF($K117="UV",IF($S117="S+ liner",($N117*(INDEX(Prijzen!$C$15:$P$70,MATCH($P117,Prijzen!$B$15:$B$70,0),MATCH($O117,Prijzen!$C$14:$O$14,0)))*0.58),IF($S117="M liner",($N117*(INDEX(Prijzen!$C$2:$P$11,MATCH($P117,Prijzen!$B$2:$B$11,0),MATCH($O117,Prijzen!$C$1:$P$1,0))))*0.58,0)),$N117*INDEX(Prijzen!$C$73:$P$94,MATCH($P117,Prijzen!$B$73:$B$94,0),MATCH($O117,Prijzen!$C$72:$P$72,0))),"")</f>
        <v/>
      </c>
      <c r="C117" s="260" t="inlineStr">
        <is>
          <t>EUR</t>
        </is>
      </c>
      <c r="D117" s="270" t="n">
        <v>1</v>
      </c>
      <c r="E117" s="305" t="n">
        <v>1</v>
      </c>
      <c r="F117" s="302">
        <f>IFERROR(B117*D117*E117,"")</f>
        <v/>
      </c>
      <c r="G117" s="244" t="n"/>
      <c r="I117" s="306" t="n"/>
      <c r="J117" s="306" t="n"/>
      <c r="K117" s="306" t="n"/>
      <c r="L117" s="306" t="n"/>
      <c r="M117" s="306" t="n"/>
      <c r="N117" s="307" t="n"/>
      <c r="O117" s="306" t="n"/>
      <c r="P117" s="306" t="n"/>
      <c r="Q117" s="306" t="n"/>
      <c r="R117" s="306" t="n"/>
      <c r="S117" s="306" t="n"/>
      <c r="U117" s="308" t="n"/>
    </row>
    <row r="118" hidden="1">
      <c r="A118" s="244">
        <f>IF(J118="","",_xlfn.CONCAT("Kous "&amp;I118&amp;" DN"&amp;P118&amp;" - "&amp;O118&amp;"mm - "&amp;N118&amp;"m - ("&amp;J118&amp;")"))</f>
        <v/>
      </c>
      <c r="B118" s="305">
        <f>IFERROR(IF($K118="UV",IF($S118="S+ liner",($N118*(INDEX(Prijzen!$C$15:$P$70,MATCH($P118,Prijzen!$B$15:$B$70,0),MATCH($O118,Prijzen!$C$14:$O$14,0)))*0.58),IF($S118="M liner",($N118*(INDEX(Prijzen!$C$2:$P$11,MATCH($P118,Prijzen!$B$2:$B$11,0),MATCH($O118,Prijzen!$C$1:$P$1,0))))*0.58,0)),$N118*INDEX(Prijzen!$C$73:$P$94,MATCH($P118,Prijzen!$B$73:$B$94,0),MATCH($O118,Prijzen!$C$72:$P$72,0))),"")</f>
        <v/>
      </c>
      <c r="C118" s="260" t="inlineStr">
        <is>
          <t>EUR</t>
        </is>
      </c>
      <c r="D118" s="270" t="n">
        <v>1</v>
      </c>
      <c r="E118" s="305" t="n">
        <v>1</v>
      </c>
      <c r="F118" s="302">
        <f>IFERROR(B118*D118*E118,"")</f>
        <v/>
      </c>
      <c r="G118" s="244" t="n"/>
      <c r="I118" s="306" t="n"/>
      <c r="J118" s="306" t="n"/>
      <c r="K118" s="306" t="n"/>
      <c r="L118" s="306" t="n"/>
      <c r="M118" s="306" t="n"/>
      <c r="N118" s="307" t="n"/>
      <c r="O118" s="306" t="n"/>
      <c r="P118" s="306" t="n"/>
      <c r="Q118" s="306" t="n"/>
      <c r="R118" s="306" t="n"/>
      <c r="S118" s="306" t="n"/>
      <c r="U118" s="308" t="n"/>
    </row>
    <row r="119" hidden="1">
      <c r="A119" s="244">
        <f>IF(J119="","",_xlfn.CONCAT("Kous "&amp;I119&amp;" DN"&amp;P119&amp;" - "&amp;O119&amp;"mm - "&amp;N119&amp;"m - ("&amp;J119&amp;")"))</f>
        <v/>
      </c>
      <c r="B119" s="305">
        <f>IFERROR(IF($K119="UV",IF($S119="S+ liner",($N119*(INDEX(Prijzen!$C$15:$P$70,MATCH($P119,Prijzen!$B$15:$B$70,0),MATCH($O119,Prijzen!$C$14:$O$14,0)))*0.58),IF($S119="M liner",($N119*(INDEX(Prijzen!$C$2:$P$11,MATCH($P119,Prijzen!$B$2:$B$11,0),MATCH($O119,Prijzen!$C$1:$P$1,0))))*0.58,0)),$N119*INDEX(Prijzen!$C$73:$P$94,MATCH($P119,Prijzen!$B$73:$B$94,0),MATCH($O119,Prijzen!$C$72:$P$72,0))),"")</f>
        <v/>
      </c>
      <c r="C119" s="260" t="inlineStr">
        <is>
          <t>EUR</t>
        </is>
      </c>
      <c r="D119" s="270" t="n">
        <v>1</v>
      </c>
      <c r="E119" s="305" t="n">
        <v>1</v>
      </c>
      <c r="F119" s="302">
        <f>IFERROR(B119*D119*E119,"")</f>
        <v/>
      </c>
      <c r="G119" s="244" t="n"/>
      <c r="I119" s="306" t="n"/>
      <c r="J119" s="306" t="n"/>
      <c r="K119" s="306" t="n"/>
      <c r="L119" s="306" t="n"/>
      <c r="M119" s="306" t="n"/>
      <c r="N119" s="307" t="n"/>
      <c r="O119" s="306" t="n"/>
      <c r="P119" s="306" t="n"/>
      <c r="Q119" s="306" t="n"/>
      <c r="R119" s="306" t="n"/>
      <c r="S119" s="306" t="n"/>
      <c r="U119" s="308" t="n"/>
    </row>
    <row r="120" hidden="1">
      <c r="A120" s="244">
        <f>IF(J120="","",_xlfn.CONCAT("Kous "&amp;I120&amp;" DN"&amp;P120&amp;" - "&amp;O120&amp;"mm - "&amp;N120&amp;"m - ("&amp;J120&amp;")"))</f>
        <v/>
      </c>
      <c r="B120" s="305">
        <f>IFERROR(IF($K120="UV",IF($S120="S+ liner",($N120*(INDEX(Prijzen!$C$15:$P$70,MATCH($P120,Prijzen!$B$15:$B$70,0),MATCH($O120,Prijzen!$C$14:$O$14,0)))*0.58),IF($S120="M liner",($N120*(INDEX(Prijzen!$C$2:$P$11,MATCH($P120,Prijzen!$B$2:$B$11,0),MATCH($O120,Prijzen!$C$1:$P$1,0))))*0.58,0)),$N120*INDEX(Prijzen!$C$73:$P$94,MATCH($P120,Prijzen!$B$73:$B$94,0),MATCH($O120,Prijzen!$C$72:$P$72,0))),"")</f>
        <v/>
      </c>
      <c r="C120" s="260" t="inlineStr">
        <is>
          <t>EUR</t>
        </is>
      </c>
      <c r="D120" s="270" t="n">
        <v>1</v>
      </c>
      <c r="E120" s="305" t="n">
        <v>1</v>
      </c>
      <c r="F120" s="302">
        <f>IFERROR(B120*D120*E120,"")</f>
        <v/>
      </c>
      <c r="G120" s="244" t="n"/>
      <c r="I120" s="306" t="n"/>
      <c r="J120" s="306" t="n"/>
      <c r="K120" s="306" t="n"/>
      <c r="L120" s="306" t="n"/>
      <c r="M120" s="306" t="n"/>
      <c r="N120" s="307" t="n"/>
      <c r="O120" s="306" t="n"/>
      <c r="P120" s="306" t="n"/>
      <c r="Q120" s="306" t="n"/>
      <c r="R120" s="306" t="n"/>
      <c r="S120" s="306" t="n"/>
      <c r="U120" s="308" t="n"/>
    </row>
    <row r="121" hidden="1">
      <c r="A121" s="244">
        <f>IF(J121="","",_xlfn.CONCAT("Kous "&amp;I121&amp;" DN"&amp;P121&amp;" - "&amp;O121&amp;"mm - "&amp;N121&amp;"m - ("&amp;J121&amp;")"))</f>
        <v/>
      </c>
      <c r="B121" s="305">
        <f>IFERROR(IF($K121="UV",IF($S121="S+ liner",($N121*(INDEX(Prijzen!$C$15:$P$70,MATCH($P121,Prijzen!$B$15:$B$70,0),MATCH($O121,Prijzen!$C$14:$O$14,0)))*0.58),IF($S121="M liner",($N121*(INDEX(Prijzen!$C$2:$P$11,MATCH($P121,Prijzen!$B$2:$B$11,0),MATCH($O121,Prijzen!$C$1:$P$1,0))))*0.58,0)),$N121*INDEX(Prijzen!$C$73:$P$94,MATCH($P121,Prijzen!$B$73:$B$94,0),MATCH($O121,Prijzen!$C$72:$P$72,0))),"")</f>
        <v/>
      </c>
      <c r="C121" s="260" t="inlineStr">
        <is>
          <t>EUR</t>
        </is>
      </c>
      <c r="D121" s="270" t="n">
        <v>1</v>
      </c>
      <c r="E121" s="305" t="n">
        <v>1</v>
      </c>
      <c r="F121" s="302">
        <f>IFERROR(B121*D121*E121,"")</f>
        <v/>
      </c>
      <c r="G121" s="244" t="n"/>
      <c r="I121" s="306" t="n"/>
      <c r="J121" s="306" t="n"/>
      <c r="K121" s="306" t="n"/>
      <c r="L121" s="306" t="n"/>
      <c r="M121" s="306" t="n"/>
      <c r="N121" s="307" t="n"/>
      <c r="O121" s="306" t="n"/>
      <c r="P121" s="306" t="n"/>
      <c r="Q121" s="306" t="n"/>
      <c r="R121" s="306" t="n"/>
      <c r="S121" s="306" t="n"/>
      <c r="U121" s="308" t="n"/>
    </row>
    <row r="122" hidden="1">
      <c r="A122" s="244">
        <f>IF(J122="","",_xlfn.CONCAT("Kous "&amp;I122&amp;" DN"&amp;P122&amp;" - "&amp;O122&amp;"mm - "&amp;N122&amp;"m - ("&amp;J122&amp;")"))</f>
        <v/>
      </c>
      <c r="B122" s="305">
        <f>IFERROR(IF($K122="UV",IF($S122="S+ liner",($N122*(INDEX(Prijzen!$C$15:$P$70,MATCH($P122,Prijzen!$B$15:$B$70,0),MATCH($O122,Prijzen!$C$14:$O$14,0)))*0.58),IF($S122="M liner",($N122*(INDEX(Prijzen!$C$2:$P$11,MATCH($P122,Prijzen!$B$2:$B$11,0),MATCH($O122,Prijzen!$C$1:$P$1,0))))*0.58,0)),$N122*INDEX(Prijzen!$C$73:$P$94,MATCH($P122,Prijzen!$B$73:$B$94,0),MATCH($O122,Prijzen!$C$72:$P$72,0))),"")</f>
        <v/>
      </c>
      <c r="C122" s="260" t="inlineStr">
        <is>
          <t>EUR</t>
        </is>
      </c>
      <c r="D122" s="270" t="n">
        <v>1</v>
      </c>
      <c r="E122" s="305" t="n">
        <v>1</v>
      </c>
      <c r="F122" s="302">
        <f>IFERROR(B122*D122*E122,"")</f>
        <v/>
      </c>
      <c r="G122" s="244" t="n"/>
      <c r="I122" s="306" t="n"/>
      <c r="J122" s="306" t="n"/>
      <c r="K122" s="306" t="n"/>
      <c r="L122" s="306" t="n"/>
      <c r="M122" s="306" t="n"/>
      <c r="N122" s="307" t="n"/>
      <c r="O122" s="306" t="n"/>
      <c r="P122" s="306" t="n"/>
      <c r="Q122" s="306" t="n"/>
      <c r="R122" s="306" t="n"/>
      <c r="S122" s="306" t="n"/>
      <c r="U122" s="308" t="n"/>
    </row>
    <row r="123" hidden="1">
      <c r="A123" s="244">
        <f>IF(J123="","",_xlfn.CONCAT("Kous "&amp;I123&amp;" DN"&amp;P123&amp;" - "&amp;O123&amp;"mm - "&amp;N123&amp;"m - ("&amp;J123&amp;")"))</f>
        <v/>
      </c>
      <c r="B123" s="305">
        <f>IFERROR(IF($K123="UV",IF($S123="S+ liner",($N123*(INDEX(Prijzen!$C$15:$P$70,MATCH($P123,Prijzen!$B$15:$B$70,0),MATCH($O123,Prijzen!$C$14:$O$14,0)))*0.58),IF($S123="M liner",($N123*(INDEX(Prijzen!$C$2:$P$11,MATCH($P123,Prijzen!$B$2:$B$11,0),MATCH($O123,Prijzen!$C$1:$P$1,0))))*0.58,0)),$N123*INDEX(Prijzen!$C$73:$P$94,MATCH($P123,Prijzen!$B$73:$B$94,0),MATCH($O123,Prijzen!$C$72:$P$72,0))),"")</f>
        <v/>
      </c>
      <c r="C123" s="260" t="inlineStr">
        <is>
          <t>EUR</t>
        </is>
      </c>
      <c r="D123" s="270" t="n">
        <v>1</v>
      </c>
      <c r="E123" s="305" t="n">
        <v>1</v>
      </c>
      <c r="F123" s="302">
        <f>IFERROR(B123*D123*E123,"")</f>
        <v/>
      </c>
      <c r="G123" s="244" t="n"/>
      <c r="I123" s="306" t="n"/>
      <c r="J123" s="306" t="n"/>
      <c r="K123" s="306" t="n"/>
      <c r="L123" s="306" t="n"/>
      <c r="M123" s="306" t="n"/>
      <c r="N123" s="307" t="n"/>
      <c r="O123" s="306" t="n"/>
      <c r="P123" s="306" t="n"/>
      <c r="Q123" s="306" t="n"/>
      <c r="R123" s="306" t="n"/>
      <c r="S123" s="306" t="n"/>
      <c r="U123" s="308" t="n"/>
    </row>
    <row r="124" hidden="1">
      <c r="A124" s="244">
        <f>IF(J124="","",_xlfn.CONCAT("Kous "&amp;I124&amp;" DN"&amp;P124&amp;" - "&amp;O124&amp;"mm - "&amp;N124&amp;"m - ("&amp;J124&amp;")"))</f>
        <v/>
      </c>
      <c r="B124" s="305">
        <f>IFERROR(IF($K124="UV",IF($S124="S+ liner",($N124*(INDEX(Prijzen!$C$15:$P$70,MATCH($P124,Prijzen!$B$15:$B$70,0),MATCH($O124,Prijzen!$C$14:$O$14,0)))*0.58),IF($S124="M liner",($N124*(INDEX(Prijzen!$C$2:$P$11,MATCH($P124,Prijzen!$B$2:$B$11,0),MATCH($O124,Prijzen!$C$1:$P$1,0))))*0.58,0)),$N124*INDEX(Prijzen!$C$73:$P$94,MATCH($P124,Prijzen!$B$73:$B$94,0),MATCH($O124,Prijzen!$C$72:$P$72,0))),"")</f>
        <v/>
      </c>
      <c r="C124" s="260" t="inlineStr">
        <is>
          <t>EUR</t>
        </is>
      </c>
      <c r="D124" s="270" t="n">
        <v>1</v>
      </c>
      <c r="E124" s="305" t="n">
        <v>1</v>
      </c>
      <c r="F124" s="302">
        <f>IFERROR(B124*D124*E124,"")</f>
        <v/>
      </c>
      <c r="G124" s="244" t="n"/>
      <c r="I124" s="306" t="n"/>
      <c r="J124" s="306" t="n"/>
      <c r="K124" s="306" t="n"/>
      <c r="L124" s="306" t="n"/>
      <c r="M124" s="306" t="n"/>
      <c r="N124" s="307" t="n"/>
      <c r="O124" s="306" t="n"/>
      <c r="P124" s="306" t="n"/>
      <c r="Q124" s="306" t="n"/>
      <c r="R124" s="306" t="n"/>
      <c r="S124" s="306" t="n"/>
      <c r="U124" s="308" t="n"/>
    </row>
    <row r="125" hidden="1">
      <c r="A125" s="244">
        <f>IF(J125="","",_xlfn.CONCAT("Kous "&amp;I125&amp;" DN"&amp;P125&amp;" - "&amp;O125&amp;"mm - "&amp;N125&amp;"m - ("&amp;J125&amp;")"))</f>
        <v/>
      </c>
      <c r="B125" s="305">
        <f>IFERROR(IF($K125="UV",IF($S125="S+ liner",($N125*(INDEX(Prijzen!$C$15:$P$70,MATCH($P125,Prijzen!$B$15:$B$70,0),MATCH($O125,Prijzen!$C$14:$O$14,0)))*0.58),IF($S125="M liner",($N125*(INDEX(Prijzen!$C$2:$P$11,MATCH($P125,Prijzen!$B$2:$B$11,0),MATCH($O125,Prijzen!$C$1:$P$1,0))))*0.58,0)),$N125*INDEX(Prijzen!$C$73:$P$94,MATCH($P125,Prijzen!$B$73:$B$94,0),MATCH($O125,Prijzen!$C$72:$P$72,0))),"")</f>
        <v/>
      </c>
      <c r="C125" s="260" t="inlineStr">
        <is>
          <t>EUR</t>
        </is>
      </c>
      <c r="D125" s="270" t="n">
        <v>1</v>
      </c>
      <c r="E125" s="305" t="n">
        <v>1</v>
      </c>
      <c r="F125" s="302">
        <f>IFERROR(B125*D125*E125,"")</f>
        <v/>
      </c>
      <c r="G125" s="244" t="n"/>
      <c r="I125" s="306" t="n"/>
      <c r="J125" s="306" t="n"/>
      <c r="K125" s="306" t="n"/>
      <c r="L125" s="306" t="n"/>
      <c r="M125" s="306" t="n"/>
      <c r="N125" s="307" t="n"/>
      <c r="O125" s="306" t="n"/>
      <c r="P125" s="306" t="n"/>
      <c r="Q125" s="306" t="n"/>
      <c r="R125" s="306" t="n"/>
      <c r="S125" s="306" t="n"/>
      <c r="U125" s="308" t="n"/>
    </row>
    <row r="126" hidden="1">
      <c r="A126" s="244">
        <f>IF(J126="","",_xlfn.CONCAT("Kous "&amp;I126&amp;" DN"&amp;P126&amp;" - "&amp;O126&amp;"mm - "&amp;N126&amp;"m - ("&amp;J126&amp;")"))</f>
        <v/>
      </c>
      <c r="B126" s="305">
        <f>IFERROR(IF($K126="UV",IF($S126="S+ liner",($N126*(INDEX(Prijzen!$C$15:$P$70,MATCH($P126,Prijzen!$B$15:$B$70,0),MATCH($O126,Prijzen!$C$14:$O$14,0)))*0.58),IF($S126="M liner",($N126*(INDEX(Prijzen!$C$2:$P$11,MATCH($P126,Prijzen!$B$2:$B$11,0),MATCH($O126,Prijzen!$C$1:$P$1,0))))*0.58,0)),$N126*INDEX(Prijzen!$C$73:$P$94,MATCH($P126,Prijzen!$B$73:$B$94,0),MATCH($O126,Prijzen!$C$72:$P$72,0))),"")</f>
        <v/>
      </c>
      <c r="C126" s="260" t="inlineStr">
        <is>
          <t>EUR</t>
        </is>
      </c>
      <c r="D126" s="270" t="n">
        <v>1</v>
      </c>
      <c r="E126" s="305" t="n">
        <v>1</v>
      </c>
      <c r="F126" s="302">
        <f>IFERROR(B126*D126*E126,"")</f>
        <v/>
      </c>
      <c r="G126" s="244" t="n"/>
      <c r="I126" s="306" t="n"/>
      <c r="J126" s="306" t="n"/>
      <c r="K126" s="306" t="n"/>
      <c r="L126" s="306" t="n"/>
      <c r="M126" s="306" t="n"/>
      <c r="N126" s="307" t="n"/>
      <c r="O126" s="306" t="n"/>
      <c r="P126" s="306" t="n"/>
      <c r="Q126" s="306" t="n"/>
      <c r="R126" s="306" t="n"/>
      <c r="S126" s="306" t="n"/>
      <c r="U126" s="308" t="n"/>
    </row>
    <row r="127" hidden="1">
      <c r="A127" s="244">
        <f>IF(J127="","",_xlfn.CONCAT("Kous "&amp;I127&amp;" DN"&amp;P127&amp;" - "&amp;O127&amp;"mm - "&amp;N127&amp;"m - ("&amp;J127&amp;")"))</f>
        <v/>
      </c>
      <c r="B127" s="305">
        <f>IFERROR(IF($K127="UV",IF($S127="S+ liner",($N127*(INDEX(Prijzen!$C$15:$P$70,MATCH($P127,Prijzen!$B$15:$B$70,0),MATCH($O127,Prijzen!$C$14:$O$14,0)))*0.58),IF($S127="M liner",($N127*(INDEX(Prijzen!$C$2:$P$11,MATCH($P127,Prijzen!$B$2:$B$11,0),MATCH($O127,Prijzen!$C$1:$P$1,0))))*0.58,0)),$N127*INDEX(Prijzen!$C$73:$P$94,MATCH($P127,Prijzen!$B$73:$B$94,0),MATCH($O127,Prijzen!$C$72:$P$72,0))),"")</f>
        <v/>
      </c>
      <c r="C127" s="260" t="inlineStr">
        <is>
          <t>EUR</t>
        </is>
      </c>
      <c r="D127" s="270" t="n">
        <v>1</v>
      </c>
      <c r="E127" s="305" t="n">
        <v>1</v>
      </c>
      <c r="F127" s="302">
        <f>IFERROR(B127*D127*E127,"")</f>
        <v/>
      </c>
      <c r="G127" s="244" t="n"/>
      <c r="I127" s="306" t="n"/>
      <c r="J127" s="306" t="n"/>
      <c r="K127" s="306" t="n"/>
      <c r="L127" s="306" t="n"/>
      <c r="M127" s="306" t="n"/>
      <c r="N127" s="307" t="n"/>
      <c r="O127" s="306" t="n"/>
      <c r="P127" s="306" t="n"/>
      <c r="Q127" s="306" t="n"/>
      <c r="R127" s="306" t="n"/>
      <c r="S127" s="306" t="n"/>
      <c r="U127" s="308" t="n"/>
    </row>
    <row r="128" hidden="1">
      <c r="A128" s="244">
        <f>IF(J128="","",_xlfn.CONCAT("Kous "&amp;I128&amp;" DN"&amp;P128&amp;" - "&amp;O128&amp;"mm - "&amp;N128&amp;"m - ("&amp;J128&amp;")"))</f>
        <v/>
      </c>
      <c r="B128" s="305">
        <f>IFERROR(IF($K128="UV",IF($S128="S+ liner",($N128*(INDEX(Prijzen!$C$15:$P$70,MATCH($P128,Prijzen!$B$15:$B$70,0),MATCH($O128,Prijzen!$C$14:$O$14,0)))*0.58),IF($S128="M liner",($N128*(INDEX(Prijzen!$C$2:$P$11,MATCH($P128,Prijzen!$B$2:$B$11,0),MATCH($O128,Prijzen!$C$1:$P$1,0))))*0.58,0)),$N128*INDEX(Prijzen!$C$73:$P$94,MATCH($P128,Prijzen!$B$73:$B$94,0),MATCH($O128,Prijzen!$C$72:$P$72,0))),"")</f>
        <v/>
      </c>
      <c r="C128" s="260" t="inlineStr">
        <is>
          <t>EUR</t>
        </is>
      </c>
      <c r="D128" s="270" t="n">
        <v>1</v>
      </c>
      <c r="E128" s="305" t="n">
        <v>1</v>
      </c>
      <c r="F128" s="302">
        <f>IFERROR(B128*D128*E128,"")</f>
        <v/>
      </c>
      <c r="G128" s="244" t="n"/>
      <c r="I128" s="306" t="n"/>
      <c r="J128" s="306" t="n"/>
      <c r="K128" s="306" t="n"/>
      <c r="L128" s="306" t="n"/>
      <c r="M128" s="306" t="n"/>
      <c r="N128" s="307" t="n"/>
      <c r="O128" s="306" t="n"/>
      <c r="P128" s="306" t="n"/>
      <c r="Q128" s="306" t="n"/>
      <c r="R128" s="306" t="n"/>
      <c r="S128" s="306" t="n"/>
      <c r="U128" s="308" t="n"/>
    </row>
    <row r="129" hidden="1">
      <c r="A129" s="244">
        <f>IF(J129="","",_xlfn.CONCAT("Kous "&amp;I129&amp;" DN"&amp;P129&amp;" - "&amp;O129&amp;"mm - "&amp;N129&amp;"m - ("&amp;J129&amp;")"))</f>
        <v/>
      </c>
      <c r="B129" s="305">
        <f>IFERROR(IF($K129="UV",IF($S129="S+ liner",($N129*(INDEX(Prijzen!$C$15:$P$70,MATCH($P129,Prijzen!$B$15:$B$70,0),MATCH($O129,Prijzen!$C$14:$O$14,0)))*0.58),IF($S129="M liner",($N129*(INDEX(Prijzen!$C$2:$P$11,MATCH($P129,Prijzen!$B$2:$B$11,0),MATCH($O129,Prijzen!$C$1:$P$1,0))))*0.58,0)),$N129*INDEX(Prijzen!$C$73:$P$94,MATCH($P129,Prijzen!$B$73:$B$94,0),MATCH($O129,Prijzen!$C$72:$P$72,0))),"")</f>
        <v/>
      </c>
      <c r="C129" s="260" t="inlineStr">
        <is>
          <t>EUR</t>
        </is>
      </c>
      <c r="D129" s="270" t="n">
        <v>1</v>
      </c>
      <c r="E129" s="305" t="n">
        <v>1</v>
      </c>
      <c r="F129" s="302">
        <f>IFERROR(B129*D129*E129,"")</f>
        <v/>
      </c>
      <c r="G129" s="244" t="n"/>
      <c r="I129" s="306" t="n"/>
      <c r="J129" s="306" t="n"/>
      <c r="K129" s="306" t="n"/>
      <c r="L129" s="306" t="n"/>
      <c r="M129" s="306" t="n"/>
      <c r="N129" s="307" t="n"/>
      <c r="O129" s="306" t="n"/>
      <c r="P129" s="306" t="n"/>
      <c r="Q129" s="306" t="n"/>
      <c r="R129" s="306" t="n"/>
      <c r="S129" s="306" t="n"/>
      <c r="U129" s="308" t="n"/>
    </row>
    <row r="130" hidden="1">
      <c r="A130" s="244">
        <f>IF(J130="","",_xlfn.CONCAT("Kous "&amp;I130&amp;" DN"&amp;P130&amp;" - "&amp;O130&amp;"mm - "&amp;N130&amp;"m - ("&amp;J130&amp;")"))</f>
        <v/>
      </c>
      <c r="B130" s="305">
        <f>IFERROR(IF($K130="UV",IF($S130="S+ liner",($N130*(INDEX(Prijzen!$C$15:$P$70,MATCH($P130,Prijzen!$B$15:$B$70,0),MATCH($O130,Prijzen!$C$14:$O$14,0)))*0.58),IF($S130="M liner",($N130*(INDEX(Prijzen!$C$2:$P$11,MATCH($P130,Prijzen!$B$2:$B$11,0),MATCH($O130,Prijzen!$C$1:$P$1,0))))*0.58,0)),$N130*INDEX(Prijzen!$C$73:$P$94,MATCH($P130,Prijzen!$B$73:$B$94,0),MATCH($O130,Prijzen!$C$72:$P$72,0))),"")</f>
        <v/>
      </c>
      <c r="C130" s="260" t="inlineStr">
        <is>
          <t>EUR</t>
        </is>
      </c>
      <c r="D130" s="270" t="n">
        <v>1</v>
      </c>
      <c r="E130" s="305" t="n">
        <v>1</v>
      </c>
      <c r="F130" s="302">
        <f>IFERROR(B130*D130*E130,"")</f>
        <v/>
      </c>
      <c r="G130" s="244" t="n"/>
      <c r="I130" s="306" t="n"/>
      <c r="J130" s="306" t="n"/>
      <c r="K130" s="306" t="n"/>
      <c r="L130" s="306" t="n"/>
      <c r="M130" s="306" t="n"/>
      <c r="N130" s="307" t="n"/>
      <c r="O130" s="306" t="n"/>
      <c r="P130" s="306" t="n"/>
      <c r="Q130" s="306" t="n"/>
      <c r="R130" s="306" t="n"/>
      <c r="S130" s="306" t="n"/>
      <c r="U130" s="308" t="n"/>
    </row>
    <row r="131" hidden="1">
      <c r="A131" s="244">
        <f>IF(J131="","",_xlfn.CONCAT("Kous "&amp;I131&amp;" DN"&amp;P131&amp;" - "&amp;O131&amp;"mm - "&amp;N131&amp;"m - ("&amp;J131&amp;")"))</f>
        <v/>
      </c>
      <c r="B131" s="305">
        <f>IFERROR(IF($K131="UV",IF($S131="S+ liner",($N131*(INDEX(Prijzen!$C$15:$P$70,MATCH($P131,Prijzen!$B$15:$B$70,0),MATCH($O131,Prijzen!$C$14:$O$14,0)))*0.58),IF($S131="M liner",($N131*(INDEX(Prijzen!$C$2:$P$11,MATCH($P131,Prijzen!$B$2:$B$11,0),MATCH($O131,Prijzen!$C$1:$P$1,0))))*0.58,0)),$N131*INDEX(Prijzen!$C$73:$P$94,MATCH($P131,Prijzen!$B$73:$B$94,0),MATCH($O131,Prijzen!$C$72:$P$72,0))),"")</f>
        <v/>
      </c>
      <c r="C131" s="260" t="inlineStr">
        <is>
          <t>EUR</t>
        </is>
      </c>
      <c r="D131" s="270" t="n">
        <v>1</v>
      </c>
      <c r="E131" s="305" t="n">
        <v>1</v>
      </c>
      <c r="F131" s="302">
        <f>IFERROR(B131*D131*E131,"")</f>
        <v/>
      </c>
      <c r="G131" s="244" t="n"/>
      <c r="I131" s="306" t="n"/>
      <c r="J131" s="306" t="n"/>
      <c r="K131" s="306" t="n"/>
      <c r="L131" s="306" t="n"/>
      <c r="M131" s="306" t="n"/>
      <c r="N131" s="307" t="n"/>
      <c r="O131" s="306" t="n"/>
      <c r="P131" s="306" t="n"/>
      <c r="Q131" s="306" t="n"/>
      <c r="R131" s="306" t="n"/>
      <c r="S131" s="306" t="n"/>
      <c r="U131" s="308" t="n"/>
    </row>
    <row r="132" hidden="1">
      <c r="A132" s="244">
        <f>IF(J132="","",_xlfn.CONCAT("Kous "&amp;I132&amp;" DN"&amp;P132&amp;" - "&amp;O132&amp;"mm - "&amp;N132&amp;"m - ("&amp;J132&amp;")"))</f>
        <v/>
      </c>
      <c r="B132" s="305">
        <f>IFERROR(IF($K132="UV",IF($S132="S+ liner",($N132*(INDEX(Prijzen!$C$15:$P$70,MATCH($P132,Prijzen!$B$15:$B$70,0),MATCH($O132,Prijzen!$C$14:$O$14,0)))*0.58),IF($S132="M liner",($N132*(INDEX(Prijzen!$C$2:$P$11,MATCH($P132,Prijzen!$B$2:$B$11,0),MATCH($O132,Prijzen!$C$1:$P$1,0))))*0.58,0)),$N132*INDEX(Prijzen!$C$73:$P$94,MATCH($P132,Prijzen!$B$73:$B$94,0),MATCH($O132,Prijzen!$C$72:$P$72,0))),"")</f>
        <v/>
      </c>
      <c r="C132" s="260" t="inlineStr">
        <is>
          <t>EUR</t>
        </is>
      </c>
      <c r="D132" s="270" t="n">
        <v>1</v>
      </c>
      <c r="E132" s="305" t="n">
        <v>1</v>
      </c>
      <c r="F132" s="302">
        <f>IFERROR(B132*D132*E132,"")</f>
        <v/>
      </c>
      <c r="G132" s="244" t="n"/>
      <c r="I132" s="306" t="n"/>
      <c r="J132" s="306" t="n"/>
      <c r="K132" s="306" t="n"/>
      <c r="L132" s="306" t="n"/>
      <c r="M132" s="306" t="n"/>
      <c r="N132" s="307" t="n"/>
      <c r="O132" s="306" t="n"/>
      <c r="P132" s="306" t="n"/>
      <c r="Q132" s="306" t="n"/>
      <c r="R132" s="306" t="n"/>
      <c r="S132" s="306" t="n"/>
      <c r="U132" s="308" t="n"/>
    </row>
    <row r="133" hidden="1" ht="14.25" customHeight="1">
      <c r="A133" s="244">
        <f>IF(J133="","",_xlfn.CONCAT("Kous "&amp;I133&amp;" DN"&amp;P133&amp;" - "&amp;O133&amp;"mm - "&amp;N133&amp;"m - ("&amp;J133&amp;")"))</f>
        <v/>
      </c>
      <c r="B133" s="305">
        <f>IFERROR(IF($K133="UV",IF($S133="S+ liner",($N133*(INDEX(Prijzen!$C$15:$P$70,MATCH($P133,Prijzen!$B$15:$B$70,0),MATCH($O133,Prijzen!$C$14:$O$14,0)))*0.58),IF($S133="M liner",($N133*(INDEX(Prijzen!$C$2:$P$11,MATCH($P133,Prijzen!$B$2:$B$11,0),MATCH($O133,Prijzen!$C$1:$P$1,0))))*0.58,0)),$N133*INDEX(Prijzen!$C$73:$P$94,MATCH($P133,Prijzen!$B$73:$B$94,0),MATCH($O133,Prijzen!$C$72:$P$72,0))),"")</f>
        <v/>
      </c>
      <c r="C133" s="260" t="inlineStr">
        <is>
          <t>EUR</t>
        </is>
      </c>
      <c r="D133" s="270" t="n">
        <v>1</v>
      </c>
      <c r="E133" s="305" t="n">
        <v>1</v>
      </c>
      <c r="F133" s="302">
        <f>IFERROR(B133*D133*E133,"")</f>
        <v/>
      </c>
      <c r="G133" s="244" t="n"/>
      <c r="I133" s="306" t="n"/>
      <c r="J133" s="306" t="n"/>
      <c r="K133" s="306" t="n"/>
      <c r="L133" s="306" t="n"/>
      <c r="M133" s="306" t="n"/>
      <c r="N133" s="307" t="n"/>
      <c r="O133" s="306" t="n"/>
      <c r="P133" s="306" t="n"/>
      <c r="Q133" s="306" t="n"/>
      <c r="R133" s="306" t="n"/>
      <c r="S133" s="306" t="n"/>
      <c r="U133" s="308" t="n"/>
    </row>
    <row r="134" hidden="1">
      <c r="A134" s="244">
        <f>IF(J134="","",_xlfn.CONCAT("Kous "&amp;I134&amp;" DN"&amp;P134&amp;" - "&amp;O134&amp;"mm - "&amp;N134&amp;"m - ("&amp;J134&amp;")"))</f>
        <v/>
      </c>
      <c r="B134" s="305">
        <f>IFERROR(IF($K134="UV",IF($S134="S+ liner",($N134*(INDEX(Prijzen!$C$15:$P$70,MATCH($P134,Prijzen!$B$15:$B$70,0),MATCH($O134,Prijzen!$C$14:$O$14,0)))*0.58),IF($S134="M liner",($N134*(INDEX(Prijzen!$C$2:$P$11,MATCH($P134,Prijzen!$B$2:$B$11,0),MATCH($O134,Prijzen!$C$1:$P$1,0))))*0.58,0)),$N134*INDEX(Prijzen!$C$73:$P$94,MATCH($P134,Prijzen!$B$73:$B$94,0),MATCH($O134,Prijzen!$C$72:$P$72,0))),"")</f>
        <v/>
      </c>
      <c r="C134" s="260" t="inlineStr">
        <is>
          <t>EUR</t>
        </is>
      </c>
      <c r="D134" s="270" t="n">
        <v>1</v>
      </c>
      <c r="E134" s="305" t="n">
        <v>1</v>
      </c>
      <c r="F134" s="302">
        <f>IFERROR(B134*D134*E134,"")</f>
        <v/>
      </c>
      <c r="G134" s="244" t="n"/>
      <c r="I134" s="306" t="n"/>
      <c r="J134" s="306" t="n"/>
      <c r="K134" s="306" t="n"/>
      <c r="L134" s="306" t="n"/>
      <c r="M134" s="306" t="n"/>
      <c r="N134" s="307" t="n"/>
      <c r="O134" s="306" t="n"/>
      <c r="P134" s="306" t="n"/>
      <c r="Q134" s="306" t="n"/>
      <c r="R134" s="306" t="n"/>
      <c r="S134" s="306" t="n"/>
      <c r="U134" s="308" t="n"/>
    </row>
    <row r="135" hidden="1">
      <c r="A135" s="244">
        <f>IF(J135="","",_xlfn.CONCAT("Kous "&amp;I135&amp;" DN"&amp;P135&amp;" - "&amp;O135&amp;"mm - "&amp;N135&amp;"m - ("&amp;J135&amp;")"))</f>
        <v/>
      </c>
      <c r="B135" s="305">
        <f>IFERROR(IF($K135="UV",IF($S135="S+ liner",($N135*(INDEX(Prijzen!$C$15:$P$70,MATCH($P135,Prijzen!$B$15:$B$70,0),MATCH($O135,Prijzen!$C$14:$O$14,0)))*0.58),IF($S135="M liner",($N135*(INDEX(Prijzen!$C$2:$P$11,MATCH($P135,Prijzen!$B$2:$B$11,0),MATCH($O135,Prijzen!$C$1:$P$1,0))))*0.58,0)),$N135*INDEX(Prijzen!$C$73:$P$94,MATCH($P135,Prijzen!$B$73:$B$94,0),MATCH($O135,Prijzen!$C$72:$P$72,0))),"")</f>
        <v/>
      </c>
      <c r="C135" s="260" t="inlineStr">
        <is>
          <t>EUR</t>
        </is>
      </c>
      <c r="D135" s="270" t="n">
        <v>1</v>
      </c>
      <c r="E135" s="305" t="n">
        <v>1</v>
      </c>
      <c r="F135" s="302">
        <f>IFERROR(B135*D135*E135,"")</f>
        <v/>
      </c>
      <c r="G135" s="244" t="n"/>
      <c r="I135" s="306" t="n"/>
      <c r="J135" s="306" t="n"/>
      <c r="K135" s="306" t="n"/>
      <c r="L135" s="306" t="n"/>
      <c r="M135" s="306" t="n"/>
      <c r="N135" s="307" t="n"/>
      <c r="O135" s="306" t="n"/>
      <c r="P135" s="306" t="n"/>
      <c r="Q135" s="306" t="n"/>
      <c r="R135" s="306" t="n"/>
      <c r="S135" s="306" t="n"/>
      <c r="U135" s="308" t="n"/>
    </row>
    <row r="136" hidden="1">
      <c r="A136" s="244">
        <f>IF(J136="","",_xlfn.CONCAT("Kous "&amp;I136&amp;" DN"&amp;P136&amp;" - "&amp;O136&amp;"mm - "&amp;N136&amp;"m - ("&amp;J136&amp;")"))</f>
        <v/>
      </c>
      <c r="B136" s="305">
        <f>IFERROR(IF($K136="UV",IF($S136="S+ liner",($N136*(INDEX(Prijzen!$C$15:$P$70,MATCH($P136,Prijzen!$B$15:$B$70,0),MATCH($O136,Prijzen!$C$14:$O$14,0)))*0.58),IF($S136="M liner",($N136*(INDEX(Prijzen!$C$2:$P$11,MATCH($P136,Prijzen!$B$2:$B$11,0),MATCH($O136,Prijzen!$C$1:$P$1,0))))*0.58,0)),$N136*INDEX(Prijzen!$C$73:$P$94,MATCH($P136,Prijzen!$B$73:$B$94,0),MATCH($O136,Prijzen!$C$72:$P$72,0))),"")</f>
        <v/>
      </c>
      <c r="C136" s="260" t="inlineStr">
        <is>
          <t>EUR</t>
        </is>
      </c>
      <c r="D136" s="270" t="n">
        <v>1</v>
      </c>
      <c r="E136" s="305" t="n">
        <v>1</v>
      </c>
      <c r="F136" s="302">
        <f>IFERROR(B136*D136*E136,"")</f>
        <v/>
      </c>
      <c r="G136" s="244" t="n"/>
      <c r="I136" s="306" t="n"/>
      <c r="J136" s="306" t="n"/>
      <c r="K136" s="306" t="n"/>
      <c r="L136" s="306" t="n"/>
      <c r="M136" s="306" t="n"/>
      <c r="N136" s="307" t="n"/>
      <c r="O136" s="306" t="n"/>
      <c r="P136" s="306" t="n"/>
      <c r="Q136" s="306" t="n"/>
      <c r="R136" s="306" t="n"/>
      <c r="S136" s="306" t="n"/>
      <c r="U136" s="308" t="n"/>
    </row>
    <row r="137" hidden="1">
      <c r="A137" s="244">
        <f>IF(J137="","",_xlfn.CONCAT("Kous "&amp;I137&amp;" DN"&amp;P137&amp;" - "&amp;O137&amp;"mm - "&amp;N137&amp;"m - ("&amp;J137&amp;")"))</f>
        <v/>
      </c>
      <c r="B137" s="305">
        <f>IFERROR(IF($K137="UV",IF($S137="S+ liner",($N137*(INDEX(Prijzen!$C$15:$P$70,MATCH($P137,Prijzen!$B$15:$B$70,0),MATCH($O137,Prijzen!$C$14:$O$14,0)))*0.58),IF($S137="M liner",($N137*(INDEX(Prijzen!$C$2:$P$11,MATCH($P137,Prijzen!$B$2:$B$11,0),MATCH($O137,Prijzen!$C$1:$P$1,0))))*0.58,0)),$N137*INDEX(Prijzen!$C$73:$P$94,MATCH($P137,Prijzen!$B$73:$B$94,0),MATCH($O137,Prijzen!$C$72:$P$72,0))),"")</f>
        <v/>
      </c>
      <c r="C137" s="260" t="inlineStr">
        <is>
          <t>EUR</t>
        </is>
      </c>
      <c r="D137" s="270" t="n">
        <v>1</v>
      </c>
      <c r="E137" s="305" t="n">
        <v>1</v>
      </c>
      <c r="F137" s="302">
        <f>IFERROR(B137*D137*E137,"")</f>
        <v/>
      </c>
      <c r="G137" s="244" t="n"/>
      <c r="I137" s="306" t="n"/>
      <c r="J137" s="306" t="n"/>
      <c r="K137" s="306" t="n"/>
      <c r="L137" s="306" t="n"/>
      <c r="M137" s="306" t="n"/>
      <c r="N137" s="307" t="n"/>
      <c r="O137" s="306" t="n"/>
      <c r="P137" s="306" t="n"/>
      <c r="Q137" s="306" t="n"/>
      <c r="R137" s="306" t="n"/>
      <c r="S137" s="306" t="n"/>
      <c r="U137" s="308" t="n"/>
    </row>
    <row r="138" hidden="1">
      <c r="A138" s="244">
        <f>IF(J138="","",_xlfn.CONCAT("Kous "&amp;I138&amp;" DN"&amp;P138&amp;" - "&amp;O138&amp;"mm - "&amp;N138&amp;"m - ("&amp;J138&amp;")"))</f>
        <v/>
      </c>
      <c r="B138" s="305">
        <f>IFERROR(IF($K138="UV",IF($S138="S+ liner",($N138*(INDEX(Prijzen!$C$15:$P$70,MATCH($P138,Prijzen!$B$15:$B$70,0),MATCH($O138,Prijzen!$C$14:$O$14,0)))*0.58),IF($S138="M liner",($N138*(INDEX(Prijzen!$C$2:$P$11,MATCH($P138,Prijzen!$B$2:$B$11,0),MATCH($O138,Prijzen!$C$1:$P$1,0))))*0.58,0)),$N138*INDEX(Prijzen!$C$73:$P$94,MATCH($P138,Prijzen!$B$73:$B$94,0),MATCH($O138,Prijzen!$C$72:$P$72,0))),"")</f>
        <v/>
      </c>
      <c r="C138" s="260" t="inlineStr">
        <is>
          <t>EUR</t>
        </is>
      </c>
      <c r="D138" s="270" t="n">
        <v>1</v>
      </c>
      <c r="E138" s="305" t="n">
        <v>1</v>
      </c>
      <c r="F138" s="302">
        <f>IFERROR(B138*D138*E138,"")</f>
        <v/>
      </c>
      <c r="G138" s="244" t="n"/>
      <c r="I138" s="306" t="n"/>
      <c r="J138" s="306" t="n"/>
      <c r="K138" s="306" t="n"/>
      <c r="L138" s="306" t="n"/>
      <c r="M138" s="306" t="n"/>
      <c r="N138" s="307" t="n"/>
      <c r="O138" s="306" t="n"/>
      <c r="P138" s="306" t="n"/>
      <c r="Q138" s="306" t="n"/>
      <c r="R138" s="306" t="n"/>
      <c r="S138" s="306" t="n"/>
      <c r="U138" s="308" t="n"/>
    </row>
    <row r="139" hidden="1">
      <c r="A139" s="244">
        <f>IF(J139="","",_xlfn.CONCAT("Kous "&amp;I139&amp;" DN"&amp;P139&amp;" - "&amp;O139&amp;"mm - "&amp;N139&amp;"m - ("&amp;J139&amp;")"))</f>
        <v/>
      </c>
      <c r="B139" s="305">
        <f>IFERROR(IF($K139="UV",IF($S139="S+ liner",($N139*(INDEX(Prijzen!$C$15:$P$70,MATCH($P139,Prijzen!$B$15:$B$70,0),MATCH($O139,Prijzen!$C$14:$O$14,0)))*0.58),IF($S139="M liner",($N139*(INDEX(Prijzen!$C$2:$P$11,MATCH($P139,Prijzen!$B$2:$B$11,0),MATCH($O139,Prijzen!$C$1:$P$1,0))))*0.58,0)),$N139*INDEX(Prijzen!$C$73:$P$94,MATCH($P139,Prijzen!$B$73:$B$94,0),MATCH($O139,Prijzen!$C$72:$P$72,0))),"")</f>
        <v/>
      </c>
      <c r="C139" s="260" t="inlineStr">
        <is>
          <t>EUR</t>
        </is>
      </c>
      <c r="D139" s="270" t="n">
        <v>1</v>
      </c>
      <c r="E139" s="305" t="n">
        <v>1</v>
      </c>
      <c r="F139" s="302">
        <f>IFERROR(B139*D139*E139,"")</f>
        <v/>
      </c>
      <c r="G139" s="244" t="n"/>
      <c r="I139" s="306" t="n"/>
      <c r="J139" s="306" t="n"/>
      <c r="K139" s="306" t="n"/>
      <c r="L139" s="306" t="n"/>
      <c r="M139" s="306" t="n"/>
      <c r="N139" s="307" t="n"/>
      <c r="O139" s="306" t="n"/>
      <c r="P139" s="306" t="n"/>
      <c r="Q139" s="306" t="n"/>
      <c r="R139" s="306" t="n"/>
      <c r="S139" s="306" t="n"/>
      <c r="U139" s="308" t="n"/>
    </row>
    <row r="140" hidden="1">
      <c r="A140" s="244">
        <f>IF(J140="","",_xlfn.CONCAT("Kous "&amp;I140&amp;" DN"&amp;P140&amp;" - "&amp;O140&amp;"mm - "&amp;N140&amp;"m - ("&amp;J140&amp;")"))</f>
        <v/>
      </c>
      <c r="B140" s="305">
        <f>IFERROR(IF($K140="UV",IF($S140="S+ liner",($N140*(INDEX(Prijzen!$C$15:$P$70,MATCH($P140,Prijzen!$B$15:$B$70,0),MATCH($O140,Prijzen!$C$14:$O$14,0)))*0.58),IF($S140="M liner",($N140*(INDEX(Prijzen!$C$2:$P$11,MATCH($P140,Prijzen!$B$2:$B$11,0),MATCH($O140,Prijzen!$C$1:$P$1,0))))*0.58,0)),$N140*INDEX(Prijzen!$C$73:$P$94,MATCH($P140,Prijzen!$B$73:$B$94,0),MATCH($O140,Prijzen!$C$72:$P$72,0))),"")</f>
        <v/>
      </c>
      <c r="C140" s="260" t="inlineStr">
        <is>
          <t>EUR</t>
        </is>
      </c>
      <c r="D140" s="270" t="n">
        <v>1</v>
      </c>
      <c r="E140" s="305" t="n">
        <v>1</v>
      </c>
      <c r="F140" s="302">
        <f>IFERROR(B140*D140*E140,"")</f>
        <v/>
      </c>
      <c r="G140" s="244" t="n"/>
      <c r="I140" s="306" t="n"/>
      <c r="J140" s="306" t="n"/>
      <c r="K140" s="306" t="n"/>
      <c r="L140" s="306" t="n"/>
      <c r="M140" s="306" t="n"/>
      <c r="N140" s="307" t="n"/>
      <c r="O140" s="306" t="n"/>
      <c r="P140" s="306" t="n"/>
      <c r="Q140" s="306" t="n"/>
      <c r="R140" s="306" t="n"/>
      <c r="S140" s="306" t="n"/>
      <c r="U140" s="308" t="n"/>
    </row>
    <row r="141" hidden="1">
      <c r="A141" s="244">
        <f>IF(J141="","",_xlfn.CONCAT("Kous "&amp;I141&amp;" DN"&amp;P141&amp;" - "&amp;O141&amp;"mm - "&amp;N141&amp;"m - ("&amp;J141&amp;")"))</f>
        <v/>
      </c>
      <c r="B141" s="305">
        <f>IFERROR(IF($K141="UV",IF($S141="S+ liner",($N141*(INDEX(Prijzen!$C$15:$P$70,MATCH($P141,Prijzen!$B$15:$B$70,0),MATCH($O141,Prijzen!$C$14:$O$14,0)))*0.58),IF($S141="M liner",($N141*(INDEX(Prijzen!$C$2:$P$11,MATCH($P141,Prijzen!$B$2:$B$11,0),MATCH($O141,Prijzen!$C$1:$P$1,0))))*0.58,0)),$N141*INDEX(Prijzen!$C$73:$P$94,MATCH($P141,Prijzen!$B$73:$B$94,0),MATCH($O141,Prijzen!$C$72:$P$72,0))),"")</f>
        <v/>
      </c>
      <c r="C141" s="260" t="inlineStr">
        <is>
          <t>EUR</t>
        </is>
      </c>
      <c r="D141" s="270" t="n">
        <v>1</v>
      </c>
      <c r="E141" s="305" t="n">
        <v>1</v>
      </c>
      <c r="F141" s="302">
        <f>IFERROR(B141*D141*E141,"")</f>
        <v/>
      </c>
      <c r="G141" s="244" t="n"/>
      <c r="I141" s="306" t="n"/>
      <c r="J141" s="306" t="n"/>
      <c r="K141" s="306" t="n"/>
      <c r="L141" s="306" t="n"/>
      <c r="M141" s="306" t="n"/>
      <c r="N141" s="307" t="n"/>
      <c r="O141" s="306" t="n"/>
      <c r="P141" s="306" t="n"/>
      <c r="Q141" s="306" t="n"/>
      <c r="R141" s="306" t="n"/>
      <c r="S141" s="306" t="n"/>
      <c r="U141" s="308" t="n"/>
    </row>
    <row r="142" hidden="1">
      <c r="A142" s="244">
        <f>IF(J142="","",_xlfn.CONCAT("Kous "&amp;I142&amp;" DN"&amp;P142&amp;" - "&amp;O142&amp;"mm - "&amp;N142&amp;"m - ("&amp;J142&amp;")"))</f>
        <v/>
      </c>
      <c r="B142" s="305">
        <f>IFERROR(IF($K142="UV",IF($S142="S+ liner",($N142*(INDEX(Prijzen!$C$15:$P$70,MATCH($P142,Prijzen!$B$15:$B$70,0),MATCH($O142,Prijzen!$C$14:$O$14,0)))*0.58),IF($S142="M liner",($N142*(INDEX(Prijzen!$C$2:$P$11,MATCH($P142,Prijzen!$B$2:$B$11,0),MATCH($O142,Prijzen!$C$1:$P$1,0))))*0.58,0)),$N142*INDEX(Prijzen!$C$73:$P$94,MATCH($P142,Prijzen!$B$73:$B$94,0),MATCH($O142,Prijzen!$C$72:$P$72,0))),"")</f>
        <v/>
      </c>
      <c r="C142" s="260" t="inlineStr">
        <is>
          <t>EUR</t>
        </is>
      </c>
      <c r="D142" s="270" t="n">
        <v>1</v>
      </c>
      <c r="E142" s="305" t="n">
        <v>1</v>
      </c>
      <c r="F142" s="302">
        <f>IFERROR(B142*D142*E142,"")</f>
        <v/>
      </c>
      <c r="G142" s="244" t="n"/>
      <c r="I142" s="306" t="n"/>
      <c r="J142" s="306" t="n"/>
      <c r="K142" s="306" t="n"/>
      <c r="L142" s="306" t="n"/>
      <c r="M142" s="306" t="n"/>
      <c r="N142" s="307" t="n"/>
      <c r="O142" s="306" t="n"/>
      <c r="P142" s="306" t="n"/>
      <c r="Q142" s="306" t="n"/>
      <c r="R142" s="306" t="n"/>
      <c r="S142" s="306" t="n"/>
      <c r="U142" s="308" t="n"/>
    </row>
    <row r="143" hidden="1">
      <c r="A143" s="244">
        <f>IF(J143="","",_xlfn.CONCAT("Kous "&amp;I143&amp;" DN"&amp;P143&amp;" - "&amp;O143&amp;"mm - "&amp;N143&amp;"m - ("&amp;J143&amp;")"))</f>
        <v/>
      </c>
      <c r="B143" s="305">
        <f>IFERROR(IF($K143="UV",IF($S143="S+ liner",($N143*(INDEX(Prijzen!$C$15:$P$70,MATCH($P143,Prijzen!$B$15:$B$70,0),MATCH($O143,Prijzen!$C$14:$O$14,0)))*0.58),IF($S143="M liner",($N143*(INDEX(Prijzen!$C$2:$P$11,MATCH($P143,Prijzen!$B$2:$B$11,0),MATCH($O143,Prijzen!$C$1:$P$1,0))))*0.58,0)),$N143*INDEX(Prijzen!$C$73:$P$94,MATCH($P143,Prijzen!$B$73:$B$94,0),MATCH($O143,Prijzen!$C$72:$P$72,0))),"")</f>
        <v/>
      </c>
      <c r="C143" s="260" t="inlineStr">
        <is>
          <t>EUR</t>
        </is>
      </c>
      <c r="D143" s="270" t="n">
        <v>1</v>
      </c>
      <c r="E143" s="305" t="n">
        <v>1</v>
      </c>
      <c r="F143" s="302">
        <f>IFERROR(B143*D143*E143,"")</f>
        <v/>
      </c>
      <c r="G143" s="244" t="n"/>
      <c r="I143" s="306" t="n"/>
      <c r="J143" s="306" t="n"/>
      <c r="K143" s="306" t="n"/>
      <c r="L143" s="306" t="n"/>
      <c r="M143" s="306" t="n"/>
      <c r="N143" s="307" t="n"/>
      <c r="O143" s="306" t="n"/>
      <c r="P143" s="306" t="n"/>
      <c r="Q143" s="306" t="n"/>
      <c r="R143" s="306" t="n"/>
      <c r="S143" s="306" t="n"/>
      <c r="U143" s="308" t="n"/>
    </row>
    <row r="144" hidden="1">
      <c r="A144" s="244">
        <f>IF(J144="","",_xlfn.CONCAT("Kous "&amp;I144&amp;" DN"&amp;P144&amp;" - "&amp;O144&amp;"mm - "&amp;N144&amp;"m - ("&amp;J144&amp;")"))</f>
        <v/>
      </c>
      <c r="B144" s="305">
        <f>IFERROR(IF($K144="UV",IF($S144="S+ liner",($N144*(INDEX(Prijzen!$C$15:$P$70,MATCH($P144,Prijzen!$B$15:$B$70,0),MATCH($O144,Prijzen!$C$14:$O$14,0)))*0.58),IF($S144="M liner",($N144*(INDEX(Prijzen!$C$2:$P$11,MATCH($P144,Prijzen!$B$2:$B$11,0),MATCH($O144,Prijzen!$C$1:$P$1,0))))*0.58,0)),$N144*INDEX(Prijzen!$C$73:$P$94,MATCH($P144,Prijzen!$B$73:$B$94,0),MATCH($O144,Prijzen!$C$72:$P$72,0))),"")</f>
        <v/>
      </c>
      <c r="C144" s="260" t="inlineStr">
        <is>
          <t>EUR</t>
        </is>
      </c>
      <c r="D144" s="270" t="n">
        <v>1</v>
      </c>
      <c r="E144" s="305" t="n">
        <v>1</v>
      </c>
      <c r="F144" s="302">
        <f>IFERROR(B144*D144*E144,"")</f>
        <v/>
      </c>
      <c r="G144" s="244" t="n"/>
      <c r="I144" s="306" t="n"/>
      <c r="J144" s="306" t="n"/>
      <c r="K144" s="306" t="n"/>
      <c r="L144" s="306" t="n"/>
      <c r="M144" s="306" t="n"/>
      <c r="N144" s="307" t="n"/>
      <c r="O144" s="306" t="n"/>
      <c r="P144" s="306" t="n"/>
      <c r="Q144" s="306" t="n"/>
      <c r="R144" s="306" t="n"/>
      <c r="S144" s="306" t="n"/>
      <c r="U144" s="308" t="n"/>
    </row>
    <row r="145" hidden="1">
      <c r="A145" s="244">
        <f>IF(J145="","",_xlfn.CONCAT("Kous "&amp;I145&amp;" DN"&amp;P145&amp;" - "&amp;O145&amp;"mm - "&amp;N145&amp;"m - ("&amp;J145&amp;")"))</f>
        <v/>
      </c>
      <c r="B145" s="305">
        <f>IFERROR(IF($K145="UV",IF($S145="S+ liner",($N145*(INDEX(Prijzen!$C$15:$P$70,MATCH($P145,Prijzen!$B$15:$B$70,0),MATCH($O145,Prijzen!$C$14:$O$14,0)))*0.58),IF($S145="M liner",($N145*(INDEX(Prijzen!$C$2:$P$11,MATCH($P145,Prijzen!$B$2:$B$11,0),MATCH($O145,Prijzen!$C$1:$P$1,0))))*0.58,0)),$N145*INDEX(Prijzen!$C$73:$P$94,MATCH($P145,Prijzen!$B$73:$B$94,0),MATCH($O145,Prijzen!$C$72:$P$72,0))),"")</f>
        <v/>
      </c>
      <c r="C145" s="260" t="inlineStr">
        <is>
          <t>EUR</t>
        </is>
      </c>
      <c r="D145" s="270" t="n">
        <v>1</v>
      </c>
      <c r="E145" s="305" t="n">
        <v>1</v>
      </c>
      <c r="F145" s="302">
        <f>IFERROR(B145*D145*E145,"")</f>
        <v/>
      </c>
      <c r="G145" s="244" t="n"/>
      <c r="I145" s="306" t="n"/>
      <c r="J145" s="306" t="n"/>
      <c r="K145" s="306" t="n"/>
      <c r="L145" s="306" t="n"/>
      <c r="M145" s="306" t="n"/>
      <c r="N145" s="307" t="n"/>
      <c r="O145" s="306" t="n"/>
      <c r="P145" s="306" t="n"/>
      <c r="Q145" s="306" t="n"/>
      <c r="R145" s="306" t="n"/>
      <c r="S145" s="306" t="n"/>
      <c r="U145" s="308" t="n"/>
    </row>
    <row r="146" hidden="1">
      <c r="A146" s="244">
        <f>IF(J146="","",_xlfn.CONCAT("Kous "&amp;I146&amp;" DN"&amp;P146&amp;" - "&amp;O146&amp;"mm - "&amp;N146&amp;"m - ("&amp;J146&amp;")"))</f>
        <v/>
      </c>
      <c r="B146" s="305">
        <f>IFERROR(IF($K146="UV",IF($S146="S+ liner",($N146*(INDEX(Prijzen!$C$15:$P$70,MATCH($P146,Prijzen!$B$15:$B$70,0),MATCH($O146,Prijzen!$C$14:$O$14,0)))*0.58),IF($S146="M liner",($N146*(INDEX(Prijzen!$C$2:$P$11,MATCH($P146,Prijzen!$B$2:$B$11,0),MATCH($O146,Prijzen!$C$1:$P$1,0))))*0.58,0)),$N146*INDEX(Prijzen!$C$73:$P$94,MATCH($P146,Prijzen!$B$73:$B$94,0),MATCH($O146,Prijzen!$C$72:$P$72,0))),"")</f>
        <v/>
      </c>
      <c r="C146" s="260" t="inlineStr">
        <is>
          <t>EUR</t>
        </is>
      </c>
      <c r="D146" s="270" t="n">
        <v>1</v>
      </c>
      <c r="E146" s="305" t="n">
        <v>1</v>
      </c>
      <c r="F146" s="302">
        <f>IFERROR(B146*D146*E146,"")</f>
        <v/>
      </c>
      <c r="G146" s="244" t="n"/>
      <c r="I146" s="306" t="n"/>
      <c r="J146" s="306" t="n"/>
      <c r="K146" s="306" t="n"/>
      <c r="L146" s="306" t="n"/>
      <c r="M146" s="306" t="n"/>
      <c r="N146" s="307" t="n"/>
      <c r="O146" s="306" t="n"/>
      <c r="P146" s="306" t="n"/>
      <c r="Q146" s="306" t="n"/>
      <c r="R146" s="306" t="n"/>
      <c r="S146" s="306" t="n"/>
      <c r="U146" s="308" t="n"/>
    </row>
    <row r="147" hidden="1">
      <c r="A147" s="244">
        <f>IF(J147="","",_xlfn.CONCAT("Kous "&amp;I147&amp;" DN"&amp;P147&amp;" - "&amp;O147&amp;"mm - "&amp;N147&amp;"m - ("&amp;J147&amp;")"))</f>
        <v/>
      </c>
      <c r="B147" s="305">
        <f>IFERROR(IF($K147="UV",IF($S147="S+ liner",($N147*(INDEX(Prijzen!$C$15:$P$70,MATCH($P147,Prijzen!$B$15:$B$70,0),MATCH($O147,Prijzen!$C$14:$O$14,0)))*0.58),IF($S147="M liner",($N147*(INDEX(Prijzen!$C$2:$P$11,MATCH($P147,Prijzen!$B$2:$B$11,0),MATCH($O147,Prijzen!$C$1:$P$1,0))))*0.58,0)),$N147*INDEX(Prijzen!$C$73:$P$94,MATCH($P147,Prijzen!$B$73:$B$94,0),MATCH($O147,Prijzen!$C$72:$P$72,0))),"")</f>
        <v/>
      </c>
      <c r="C147" s="260" t="inlineStr">
        <is>
          <t>EUR</t>
        </is>
      </c>
      <c r="D147" s="270" t="n">
        <v>1</v>
      </c>
      <c r="E147" s="305" t="n">
        <v>1</v>
      </c>
      <c r="F147" s="302">
        <f>IFERROR(B147*D147*E147,"")</f>
        <v/>
      </c>
      <c r="G147" s="244" t="n"/>
      <c r="I147" s="306" t="n"/>
      <c r="J147" s="306" t="n"/>
      <c r="K147" s="306" t="n"/>
      <c r="L147" s="306" t="n"/>
      <c r="M147" s="306" t="n"/>
      <c r="N147" s="307" t="n"/>
      <c r="O147" s="306" t="n"/>
      <c r="P147" s="306" t="n"/>
      <c r="Q147" s="306" t="n"/>
      <c r="R147" s="306" t="n"/>
      <c r="S147" s="306" t="n"/>
      <c r="U147" s="308" t="n"/>
    </row>
    <row r="148" hidden="1">
      <c r="A148" s="244">
        <f>IF(J148="","",_xlfn.CONCAT("Kous "&amp;I148&amp;" DN"&amp;P148&amp;" - "&amp;O148&amp;"mm - "&amp;N148&amp;"m - ("&amp;J148&amp;")"))</f>
        <v/>
      </c>
      <c r="B148" s="305">
        <f>IFERROR(IF($K148="UV",IF($S148="S+ liner",($N148*(INDEX(Prijzen!$C$15:$P$70,MATCH($P148,Prijzen!$B$15:$B$70,0),MATCH($O148,Prijzen!$C$14:$O$14,0)))*0.58),IF($S148="M liner",($N148*(INDEX(Prijzen!$C$2:$P$11,MATCH($P148,Prijzen!$B$2:$B$11,0),MATCH($O148,Prijzen!$C$1:$P$1,0))))*0.58,0)),$N148*INDEX(Prijzen!$C$73:$P$94,MATCH($P148,Prijzen!$B$73:$B$94,0),MATCH($O148,Prijzen!$C$72:$P$72,0))),"")</f>
        <v/>
      </c>
      <c r="C148" s="260" t="inlineStr">
        <is>
          <t>EUR</t>
        </is>
      </c>
      <c r="D148" s="270" t="n">
        <v>1</v>
      </c>
      <c r="E148" s="305" t="n">
        <v>1</v>
      </c>
      <c r="F148" s="302">
        <f>IFERROR(B148*D148*E148,"")</f>
        <v/>
      </c>
      <c r="G148" s="244" t="n"/>
      <c r="I148" s="306" t="n"/>
      <c r="J148" s="306" t="n"/>
      <c r="K148" s="306" t="n"/>
      <c r="L148" s="306" t="n"/>
      <c r="M148" s="306" t="n"/>
      <c r="N148" s="307" t="n"/>
      <c r="O148" s="306" t="n"/>
      <c r="P148" s="306" t="n"/>
      <c r="Q148" s="306" t="n"/>
      <c r="R148" s="306" t="n"/>
      <c r="S148" s="306" t="n"/>
      <c r="U148" s="308" t="n"/>
    </row>
    <row r="149" hidden="1">
      <c r="A149" s="244">
        <f>IF(J149="","",_xlfn.CONCAT("Kous "&amp;I149&amp;" DN"&amp;P149&amp;" - "&amp;O149&amp;"mm - "&amp;N149&amp;"m - ("&amp;J149&amp;")"))</f>
        <v/>
      </c>
      <c r="B149" s="305">
        <f>IFERROR(IF($K149="UV",IF($S149="S+ liner",($N149*(INDEX(Prijzen!$C$15:$P$70,MATCH($P149,Prijzen!$B$15:$B$70,0),MATCH($O149,Prijzen!$C$14:$O$14,0)))*0.58),IF($S149="M liner",($N149*(INDEX(Prijzen!$C$2:$P$11,MATCH($P149,Prijzen!$B$2:$B$11,0),MATCH($O149,Prijzen!$C$1:$P$1,0))))*0.58,0)),$N149*INDEX(Prijzen!$C$73:$P$94,MATCH($P149,Prijzen!$B$73:$B$94,0),MATCH($O149,Prijzen!$C$72:$P$72,0))),"")</f>
        <v/>
      </c>
      <c r="C149" s="260" t="inlineStr">
        <is>
          <t>EUR</t>
        </is>
      </c>
      <c r="D149" s="270" t="n">
        <v>1</v>
      </c>
      <c r="E149" s="305" t="n">
        <v>1</v>
      </c>
      <c r="F149" s="302">
        <f>IFERROR(B149*D149*E149,"")</f>
        <v/>
      </c>
      <c r="G149" s="244" t="n"/>
      <c r="I149" s="306" t="n"/>
      <c r="J149" s="306" t="n"/>
      <c r="K149" s="306" t="n"/>
      <c r="L149" s="306" t="n"/>
      <c r="M149" s="306" t="n"/>
      <c r="N149" s="307" t="n"/>
      <c r="O149" s="306" t="n"/>
      <c r="P149" s="306" t="n"/>
      <c r="Q149" s="306" t="n"/>
      <c r="R149" s="306" t="n"/>
      <c r="S149" s="306" t="n"/>
      <c r="U149" s="308" t="n"/>
    </row>
    <row r="150" hidden="1">
      <c r="A150" s="244">
        <f>IF(J150="","",_xlfn.CONCAT("Kous "&amp;I150&amp;" DN"&amp;P150&amp;" - "&amp;O150&amp;"mm - "&amp;N150&amp;"m - ("&amp;J150&amp;")"))</f>
        <v/>
      </c>
      <c r="B150" s="305">
        <f>IFERROR(IF($K150="UV",IF($S150="S+ liner",($N150*(INDEX(Prijzen!$C$15:$P$70,MATCH($P150,Prijzen!$B$15:$B$70,0),MATCH($O150,Prijzen!$C$14:$O$14,0)))*0.58),IF($S150="M liner",($N150*(INDEX(Prijzen!$C$2:$P$11,MATCH($P150,Prijzen!$B$2:$B$11,0),MATCH($O150,Prijzen!$C$1:$P$1,0))))*0.58,0)),$N150*INDEX(Prijzen!$C$73:$P$94,MATCH($P150,Prijzen!$B$73:$B$94,0),MATCH($O150,Prijzen!$C$72:$P$72,0))),"")</f>
        <v/>
      </c>
      <c r="C150" s="260" t="inlineStr">
        <is>
          <t>EUR</t>
        </is>
      </c>
      <c r="D150" s="270" t="n">
        <v>1</v>
      </c>
      <c r="E150" s="305" t="n">
        <v>1</v>
      </c>
      <c r="F150" s="302">
        <f>IFERROR(B150*D150*E150,"")</f>
        <v/>
      </c>
      <c r="G150" s="244" t="n"/>
      <c r="I150" s="306" t="n"/>
      <c r="J150" s="306" t="n"/>
      <c r="K150" s="306" t="n"/>
      <c r="L150" s="306" t="n"/>
      <c r="M150" s="306" t="n"/>
      <c r="N150" s="307" t="n"/>
      <c r="O150" s="306" t="n"/>
      <c r="P150" s="306" t="n"/>
      <c r="Q150" s="306" t="n"/>
      <c r="R150" s="306" t="n"/>
      <c r="S150" s="306" t="n"/>
      <c r="U150" s="308" t="n"/>
    </row>
    <row r="151" hidden="1">
      <c r="A151" s="244">
        <f>IF(J151="","",_xlfn.CONCAT("Kous "&amp;I151&amp;" DN"&amp;P151&amp;" - "&amp;O151&amp;"mm - "&amp;N151&amp;"m - ("&amp;J151&amp;")"))</f>
        <v/>
      </c>
      <c r="B151" s="305">
        <f>IFERROR(IF($K151="UV",IF($S151="S+ liner",($N151*(INDEX(Prijzen!$C$15:$P$70,MATCH($P151,Prijzen!$B$15:$B$70,0),MATCH($O151,Prijzen!$C$14:$O$14,0)))*0.58),IF($S151="M liner",($N151*(INDEX(Prijzen!$C$2:$P$11,MATCH($P151,Prijzen!$B$2:$B$11,0),MATCH($O151,Prijzen!$C$1:$P$1,0))))*0.58,0)),$N151*INDEX(Prijzen!$C$73:$P$94,MATCH($P151,Prijzen!$B$73:$B$94,0),MATCH($O151,Prijzen!$C$72:$P$72,0))),"")</f>
        <v/>
      </c>
      <c r="C151" s="260" t="inlineStr">
        <is>
          <t>EUR</t>
        </is>
      </c>
      <c r="D151" s="270" t="n">
        <v>1</v>
      </c>
      <c r="E151" s="305" t="n">
        <v>1</v>
      </c>
      <c r="F151" s="302">
        <f>IFERROR(B151*D151*E151,"")</f>
        <v/>
      </c>
      <c r="G151" s="244" t="n"/>
      <c r="I151" s="306" t="n"/>
      <c r="J151" s="306" t="n"/>
      <c r="K151" s="306" t="n"/>
      <c r="L151" s="306" t="n"/>
      <c r="M151" s="306" t="n"/>
      <c r="N151" s="307" t="n"/>
      <c r="O151" s="306" t="n"/>
      <c r="P151" s="306" t="n"/>
      <c r="Q151" s="306" t="n"/>
      <c r="R151" s="306" t="n"/>
      <c r="S151" s="306" t="n"/>
      <c r="U151" s="308" t="n"/>
    </row>
    <row r="152" hidden="1">
      <c r="A152" s="244">
        <f>IF(J152="","",_xlfn.CONCAT("Kous "&amp;I152&amp;" DN"&amp;P152&amp;" - "&amp;O152&amp;"mm - "&amp;N152&amp;"m - ("&amp;J152&amp;")"))</f>
        <v/>
      </c>
      <c r="B152" s="305">
        <f>IFERROR(IF($K152="UV",IF($S152="S+ liner",($N152*(INDEX(Prijzen!$C$15:$P$70,MATCH($P152,Prijzen!$B$15:$B$70,0),MATCH($O152,Prijzen!$C$14:$O$14,0)))*0.58),IF($S152="M liner",($N152*(INDEX(Prijzen!$C$2:$P$11,MATCH($P152,Prijzen!$B$2:$B$11,0),MATCH($O152,Prijzen!$C$1:$P$1,0))))*0.58,0)),$N152*INDEX(Prijzen!$C$73:$P$94,MATCH($P152,Prijzen!$B$73:$B$94,0),MATCH($O152,Prijzen!$C$72:$P$72,0))),"")</f>
        <v/>
      </c>
      <c r="C152" s="260" t="inlineStr">
        <is>
          <t>EUR</t>
        </is>
      </c>
      <c r="D152" s="270" t="n">
        <v>1</v>
      </c>
      <c r="E152" s="305" t="n">
        <v>1</v>
      </c>
      <c r="F152" s="302">
        <f>IFERROR(B152*D152*E152,"")</f>
        <v/>
      </c>
      <c r="G152" s="244" t="n"/>
      <c r="I152" s="306" t="n"/>
      <c r="J152" s="306" t="n"/>
      <c r="K152" s="306" t="n"/>
      <c r="L152" s="306" t="n"/>
      <c r="M152" s="306" t="n"/>
      <c r="N152" s="307" t="n"/>
      <c r="O152" s="306" t="n"/>
      <c r="P152" s="306" t="n"/>
      <c r="Q152" s="306" t="n"/>
      <c r="R152" s="306" t="n"/>
      <c r="S152" s="306" t="n"/>
      <c r="U152" s="308" t="n"/>
    </row>
    <row r="153" hidden="1">
      <c r="A153" s="244">
        <f>IF(J153="","",_xlfn.CONCAT("Kous "&amp;I153&amp;" DN"&amp;P153&amp;" - "&amp;O153&amp;"mm - "&amp;N153&amp;"m - ("&amp;J153&amp;")"))</f>
        <v/>
      </c>
      <c r="B153" s="305">
        <f>IFERROR(IF($K153="UV",IF($S153="S+ liner",($N153*(INDEX(Prijzen!$C$15:$P$70,MATCH($P153,Prijzen!$B$15:$B$70,0),MATCH($O153,Prijzen!$C$14:$O$14,0)))*0.58),IF($S153="M liner",($N153*(INDEX(Prijzen!$C$2:$P$11,MATCH($P153,Prijzen!$B$2:$B$11,0),MATCH($O153,Prijzen!$C$1:$P$1,0))))*0.58,0)),$N153*INDEX(Prijzen!$C$73:$P$94,MATCH($P153,Prijzen!$B$73:$B$94,0),MATCH($O153,Prijzen!$C$72:$P$72,0))),"")</f>
        <v/>
      </c>
      <c r="C153" s="260" t="inlineStr">
        <is>
          <t>EUR</t>
        </is>
      </c>
      <c r="D153" s="270" t="n">
        <v>1</v>
      </c>
      <c r="E153" s="305" t="n">
        <v>1</v>
      </c>
      <c r="F153" s="302">
        <f>IFERROR(B153*D153*E153,"")</f>
        <v/>
      </c>
      <c r="G153" s="244" t="n"/>
      <c r="I153" s="306" t="n"/>
      <c r="J153" s="306" t="n"/>
      <c r="K153" s="306" t="n"/>
      <c r="L153" s="306" t="n"/>
      <c r="M153" s="306" t="n"/>
      <c r="N153" s="307" t="n"/>
      <c r="O153" s="306" t="n"/>
      <c r="P153" s="306" t="n"/>
      <c r="Q153" s="306" t="n"/>
      <c r="R153" s="306" t="n"/>
      <c r="S153" s="306" t="n"/>
      <c r="U153" s="308" t="n"/>
    </row>
    <row r="154" hidden="1">
      <c r="A154" s="244">
        <f>IF(J154="","",_xlfn.CONCAT("Kous "&amp;I154&amp;" DN"&amp;P154&amp;" - "&amp;O154&amp;"mm - "&amp;N154&amp;"m - ("&amp;J154&amp;")"))</f>
        <v/>
      </c>
      <c r="B154" s="305">
        <f>IFERROR(IF($K154="UV",IF($S154="S+ liner",($N154*(INDEX(Prijzen!$C$15:$P$70,MATCH($P154,Prijzen!$B$15:$B$70,0),MATCH($O154,Prijzen!$C$14:$O$14,0)))*0.58),IF($S154="M liner",($N154*(INDEX(Prijzen!$C$2:$P$11,MATCH($P154,Prijzen!$B$2:$B$11,0),MATCH($O154,Prijzen!$C$1:$P$1,0))))*0.58,0)),$N154*INDEX(Prijzen!$C$73:$P$94,MATCH($P154,Prijzen!$B$73:$B$94,0),MATCH($O154,Prijzen!$C$72:$P$72,0))),"")</f>
        <v/>
      </c>
      <c r="C154" s="260" t="inlineStr">
        <is>
          <t>EUR</t>
        </is>
      </c>
      <c r="D154" s="270" t="n">
        <v>1</v>
      </c>
      <c r="E154" s="305" t="n">
        <v>1</v>
      </c>
      <c r="F154" s="302">
        <f>IFERROR(B154*D154*E154,"")</f>
        <v/>
      </c>
      <c r="G154" s="244" t="n"/>
      <c r="I154" s="306" t="n"/>
      <c r="J154" s="306" t="n"/>
      <c r="K154" s="306" t="n"/>
      <c r="L154" s="306" t="n"/>
      <c r="M154" s="306" t="n"/>
      <c r="N154" s="307" t="n"/>
      <c r="O154" s="306" t="n"/>
      <c r="P154" s="306" t="n"/>
      <c r="Q154" s="306" t="n"/>
      <c r="R154" s="306" t="n"/>
      <c r="S154" s="306" t="n"/>
      <c r="U154" s="308" t="n"/>
    </row>
    <row r="155" hidden="1">
      <c r="A155" s="244">
        <f>IF(J155="","",_xlfn.CONCAT("Kous "&amp;I155&amp;" DN"&amp;P155&amp;" - "&amp;O155&amp;"mm - "&amp;N155&amp;"m - ("&amp;J155&amp;")"))</f>
        <v/>
      </c>
      <c r="B155" s="305">
        <f>IFERROR(IF($K155="UV",IF($S155="S+ liner",($N155*(INDEX(Prijzen!$C$15:$P$70,MATCH($P155,Prijzen!$B$15:$B$70,0),MATCH($O155,Prijzen!$C$14:$O$14,0)))*0.58),IF($S155="M liner",($N155*(INDEX(Prijzen!$C$2:$P$11,MATCH($P155,Prijzen!$B$2:$B$11,0),MATCH($O155,Prijzen!$C$1:$P$1,0))))*0.58,0)),$N155*INDEX(Prijzen!$C$73:$P$94,MATCH($P155,Prijzen!$B$73:$B$94,0),MATCH($O155,Prijzen!$C$72:$P$72,0))),"")</f>
        <v/>
      </c>
      <c r="C155" s="260" t="inlineStr">
        <is>
          <t>EUR</t>
        </is>
      </c>
      <c r="D155" s="270" t="n">
        <v>1</v>
      </c>
      <c r="E155" s="305" t="n">
        <v>1</v>
      </c>
      <c r="F155" s="302">
        <f>IFERROR(B155*D155*E155,"")</f>
        <v/>
      </c>
      <c r="G155" s="244" t="n"/>
      <c r="I155" s="306" t="n"/>
      <c r="J155" s="306" t="n"/>
      <c r="K155" s="306" t="n"/>
      <c r="L155" s="306" t="n"/>
      <c r="M155" s="306" t="n"/>
      <c r="N155" s="307" t="n"/>
      <c r="O155" s="306" t="n"/>
      <c r="P155" s="306" t="n"/>
      <c r="Q155" s="306" t="n"/>
      <c r="R155" s="306" t="n"/>
      <c r="S155" s="306" t="n"/>
      <c r="U155" s="308" t="n"/>
    </row>
    <row r="156" hidden="1">
      <c r="A156" s="244">
        <f>IF(J156="","",_xlfn.CONCAT("Kous "&amp;I156&amp;" DN"&amp;P156&amp;" - "&amp;O156&amp;"mm - "&amp;N156&amp;"m - ("&amp;J156&amp;")"))</f>
        <v/>
      </c>
      <c r="B156" s="305">
        <f>IFERROR(IF($K156="UV",IF($S156="S+ liner",($N156*(INDEX(Prijzen!$C$15:$P$70,MATCH($P156,Prijzen!$B$15:$B$70,0),MATCH($O156,Prijzen!$C$14:$O$14,0)))*0.58),IF($S156="M liner",($N156*(INDEX(Prijzen!$C$2:$P$11,MATCH($P156,Prijzen!$B$2:$B$11,0),MATCH($O156,Prijzen!$C$1:$P$1,0))))*0.58,0)),$N156*INDEX(Prijzen!$C$73:$P$94,MATCH($P156,Prijzen!$B$73:$B$94,0),MATCH($O156,Prijzen!$C$72:$P$72,0))),"")</f>
        <v/>
      </c>
      <c r="C156" s="260" t="inlineStr">
        <is>
          <t>EUR</t>
        </is>
      </c>
      <c r="D156" s="270" t="n">
        <v>1</v>
      </c>
      <c r="E156" s="305" t="n">
        <v>1</v>
      </c>
      <c r="F156" s="302">
        <f>IFERROR(B156*D156*E156,"")</f>
        <v/>
      </c>
      <c r="G156" s="244" t="n"/>
      <c r="I156" s="306" t="n"/>
      <c r="J156" s="306" t="n"/>
      <c r="K156" s="306" t="n"/>
      <c r="L156" s="306" t="n"/>
      <c r="M156" s="306" t="n"/>
      <c r="N156" s="307" t="n"/>
      <c r="O156" s="306" t="n"/>
      <c r="P156" s="306" t="n"/>
      <c r="Q156" s="306" t="n"/>
      <c r="R156" s="306" t="n"/>
      <c r="S156" s="306" t="n"/>
      <c r="U156" s="308" t="n"/>
    </row>
    <row r="157" hidden="1">
      <c r="A157" s="244">
        <f>IF(J157="","",_xlfn.CONCAT("Kous "&amp;I157&amp;" DN"&amp;P157&amp;" - "&amp;O157&amp;"mm - "&amp;N157&amp;"m - ("&amp;J157&amp;")"))</f>
        <v/>
      </c>
      <c r="B157" s="305">
        <f>IFERROR(IF($K157="UV",IF($S157="S+ liner",($N157*(INDEX(Prijzen!$C$15:$P$70,MATCH($P157,Prijzen!$B$15:$B$70,0),MATCH($O157,Prijzen!$C$14:$O$14,0)))*0.58),IF($S157="M liner",($N157*(INDEX(Prijzen!$C$2:$P$11,MATCH($P157,Prijzen!$B$2:$B$11,0),MATCH($O157,Prijzen!$C$1:$P$1,0))))*0.58,0)),$N157*INDEX(Prijzen!$C$73:$P$94,MATCH($P157,Prijzen!$B$73:$B$94,0),MATCH($O157,Prijzen!$C$72:$P$72,0))),"")</f>
        <v/>
      </c>
      <c r="C157" s="260" t="inlineStr">
        <is>
          <t>EUR</t>
        </is>
      </c>
      <c r="D157" s="270" t="n">
        <v>1</v>
      </c>
      <c r="E157" s="305" t="n">
        <v>1</v>
      </c>
      <c r="F157" s="302">
        <f>IFERROR(B157*D157*E157,"")</f>
        <v/>
      </c>
      <c r="G157" s="244" t="n"/>
      <c r="I157" s="306" t="n"/>
      <c r="J157" s="306" t="n"/>
      <c r="K157" s="306" t="n"/>
      <c r="L157" s="306" t="n"/>
      <c r="M157" s="306" t="n"/>
      <c r="N157" s="307" t="n"/>
      <c r="O157" s="306" t="n"/>
      <c r="P157" s="306" t="n"/>
      <c r="Q157" s="306" t="n"/>
      <c r="R157" s="306" t="n"/>
      <c r="S157" s="306" t="n"/>
      <c r="U157" s="308" t="n"/>
    </row>
    <row r="158" hidden="1">
      <c r="A158" s="244">
        <f>IF(J158="","",_xlfn.CONCAT("Kous "&amp;I158&amp;" DN"&amp;P158&amp;" - "&amp;O158&amp;"mm - "&amp;N158&amp;"m - ("&amp;J158&amp;")"))</f>
        <v/>
      </c>
      <c r="B158" s="305">
        <f>IFERROR(IF($K158="UV",IF($S158="S+ liner",($N158*(INDEX(Prijzen!$C$15:$P$70,MATCH($P158,Prijzen!$B$15:$B$70,0),MATCH($O158,Prijzen!$C$14:$O$14,0)))*0.58),IF($S158="M liner",($N158*(INDEX(Prijzen!$C$2:$P$11,MATCH($P158,Prijzen!$B$2:$B$11,0),MATCH($O158,Prijzen!$C$1:$P$1,0))))*0.58,0)),$N158*INDEX(Prijzen!$C$73:$P$94,MATCH($P158,Prijzen!$B$73:$B$94,0),MATCH($O158,Prijzen!$C$72:$P$72,0))),"")</f>
        <v/>
      </c>
      <c r="C158" s="260" t="inlineStr">
        <is>
          <t>EUR</t>
        </is>
      </c>
      <c r="D158" s="270" t="n">
        <v>1</v>
      </c>
      <c r="E158" s="305" t="n">
        <v>1</v>
      </c>
      <c r="F158" s="302">
        <f>IFERROR(B158*D158*E158,"")</f>
        <v/>
      </c>
      <c r="G158" s="244" t="n"/>
      <c r="I158" s="306" t="n"/>
      <c r="J158" s="306" t="n"/>
      <c r="K158" s="306" t="n"/>
      <c r="L158" s="306" t="n"/>
      <c r="M158" s="306" t="n"/>
      <c r="N158" s="307" t="n"/>
      <c r="O158" s="306" t="n"/>
      <c r="P158" s="306" t="n"/>
      <c r="Q158" s="306" t="n"/>
      <c r="R158" s="306" t="n"/>
      <c r="S158" s="306" t="n"/>
      <c r="U158" s="308" t="n"/>
    </row>
    <row r="159" hidden="1">
      <c r="A159" s="244">
        <f>IF(J159="","",_xlfn.CONCAT("Kous "&amp;I159&amp;" DN"&amp;P159&amp;" - "&amp;O159&amp;"mm - "&amp;N159&amp;"m - ("&amp;J159&amp;")"))</f>
        <v/>
      </c>
      <c r="B159" s="305">
        <f>IFERROR(IF($K159="UV",IF($S159="S+ liner",($N159*(INDEX(Prijzen!$C$15:$P$70,MATCH($P159,Prijzen!$B$15:$B$70,0),MATCH($O159,Prijzen!$C$14:$O$14,0)))*0.58),IF($S159="M liner",($N159*(INDEX(Prijzen!$C$2:$P$11,MATCH($P159,Prijzen!$B$2:$B$11,0),MATCH($O159,Prijzen!$C$1:$P$1,0))))*0.58,0)),$N159*INDEX(Prijzen!$C$73:$P$94,MATCH($P159,Prijzen!$B$73:$B$94,0),MATCH($O159,Prijzen!$C$72:$P$72,0))),"")</f>
        <v/>
      </c>
      <c r="C159" s="260" t="inlineStr">
        <is>
          <t>EUR</t>
        </is>
      </c>
      <c r="D159" s="270" t="n">
        <v>1</v>
      </c>
      <c r="E159" s="305" t="n">
        <v>1</v>
      </c>
      <c r="F159" s="302">
        <f>IFERROR(B159*D159*E159,"")</f>
        <v/>
      </c>
      <c r="G159" s="244" t="n"/>
      <c r="I159" s="306" t="n"/>
      <c r="J159" s="306" t="n"/>
      <c r="K159" s="306" t="n"/>
      <c r="L159" s="306" t="n"/>
      <c r="M159" s="306" t="n"/>
      <c r="N159" s="307" t="n"/>
      <c r="O159" s="306" t="n"/>
      <c r="P159" s="306" t="n"/>
      <c r="Q159" s="306" t="n"/>
      <c r="R159" s="306" t="n"/>
      <c r="S159" s="306" t="n"/>
      <c r="U159" s="308" t="n"/>
    </row>
    <row r="160" hidden="1">
      <c r="A160" s="244">
        <f>IF(J160="","",_xlfn.CONCAT("Kous "&amp;I160&amp;" DN"&amp;P160&amp;" - "&amp;O160&amp;"mm - "&amp;N160&amp;"m - ("&amp;J160&amp;")"))</f>
        <v/>
      </c>
      <c r="B160" s="305">
        <f>IFERROR(IF($K160="UV",IF($S160="S+ liner",($N160*(INDEX(Prijzen!$C$15:$P$70,MATCH($P160,Prijzen!$B$15:$B$70,0),MATCH($O160,Prijzen!$C$14:$O$14,0)))*0.58),IF($S160="M liner",($N160*(INDEX(Prijzen!$C$2:$P$11,MATCH($P160,Prijzen!$B$2:$B$11,0),MATCH($O160,Prijzen!$C$1:$P$1,0))))*0.58,0)),$N160*INDEX(Prijzen!$C$73:$P$94,MATCH($P160,Prijzen!$B$73:$B$94,0),MATCH($O160,Prijzen!$C$72:$P$72,0))),"")</f>
        <v/>
      </c>
      <c r="C160" s="260" t="inlineStr">
        <is>
          <t>EUR</t>
        </is>
      </c>
      <c r="D160" s="270" t="n">
        <v>1</v>
      </c>
      <c r="E160" s="305" t="n">
        <v>1</v>
      </c>
      <c r="F160" s="302">
        <f>IFERROR(B160*D160*E160,"")</f>
        <v/>
      </c>
      <c r="G160" s="244" t="n"/>
      <c r="I160" s="306" t="n"/>
      <c r="J160" s="306" t="n"/>
      <c r="K160" s="306" t="n"/>
      <c r="L160" s="306" t="n"/>
      <c r="M160" s="306" t="n"/>
      <c r="N160" s="307" t="n"/>
      <c r="O160" s="306" t="n"/>
      <c r="P160" s="306" t="n"/>
      <c r="Q160" s="306" t="n"/>
      <c r="R160" s="306" t="n"/>
      <c r="S160" s="306" t="n"/>
      <c r="U160" s="308" t="n"/>
    </row>
    <row r="161" hidden="1">
      <c r="A161" s="244">
        <f>IF(J161="","",_xlfn.CONCAT("Kous "&amp;I161&amp;" DN"&amp;P161&amp;" - "&amp;O161&amp;"mm - "&amp;N161&amp;"m - ("&amp;J161&amp;")"))</f>
        <v/>
      </c>
      <c r="B161" s="305">
        <f>IFERROR(IF($K161="UV",IF($S161="S+ liner",($N161*(INDEX(Prijzen!$C$15:$P$70,MATCH($P161,Prijzen!$B$15:$B$70,0),MATCH($O161,Prijzen!$C$14:$O$14,0)))*0.58),IF($S161="M liner",($N161*(INDEX(Prijzen!$C$2:$P$11,MATCH($P161,Prijzen!$B$2:$B$11,0),MATCH($O161,Prijzen!$C$1:$P$1,0))))*0.58,0)),$N161*INDEX(Prijzen!$C$73:$P$94,MATCH($P161,Prijzen!$B$73:$B$94,0),MATCH($O161,Prijzen!$C$72:$P$72,0))),"")</f>
        <v/>
      </c>
      <c r="C161" s="260" t="inlineStr">
        <is>
          <t>EUR</t>
        </is>
      </c>
      <c r="D161" s="270" t="n">
        <v>1</v>
      </c>
      <c r="E161" s="305" t="n">
        <v>1</v>
      </c>
      <c r="F161" s="302">
        <f>IFERROR(B161*D161*E161,"")</f>
        <v/>
      </c>
      <c r="G161" s="244" t="n"/>
      <c r="I161" s="306" t="n"/>
      <c r="J161" s="306" t="n"/>
      <c r="K161" s="306" t="n"/>
      <c r="L161" s="306" t="n"/>
      <c r="M161" s="306" t="n"/>
      <c r="N161" s="307" t="n"/>
      <c r="O161" s="306" t="n"/>
      <c r="P161" s="306" t="n"/>
      <c r="Q161" s="306" t="n"/>
      <c r="R161" s="306" t="n"/>
      <c r="S161" s="306" t="n"/>
      <c r="U161" s="308" t="n"/>
    </row>
    <row r="162" hidden="1">
      <c r="A162" s="244">
        <f>IF(J162="","",_xlfn.CONCAT("Kous "&amp;I162&amp;" DN"&amp;P162&amp;" - "&amp;O162&amp;"mm - "&amp;N162&amp;"m - ("&amp;J162&amp;")"))</f>
        <v/>
      </c>
      <c r="B162" s="305">
        <f>IFERROR(IF($K162="UV",IF($S162="S+ liner",($N162*(INDEX(Prijzen!$C$15:$P$70,MATCH($P162,Prijzen!$B$15:$B$70,0),MATCH($O162,Prijzen!$C$14:$O$14,0)))*0.58),IF($S162="M liner",($N162*(INDEX(Prijzen!$C$2:$P$11,MATCH($P162,Prijzen!$B$2:$B$11,0),MATCH($O162,Prijzen!$C$1:$P$1,0))))*0.58,0)),$N162*INDEX(Prijzen!$C$73:$P$94,MATCH($P162,Prijzen!$B$73:$B$94,0),MATCH($O162,Prijzen!$C$72:$P$72,0))),"")</f>
        <v/>
      </c>
      <c r="C162" s="260" t="inlineStr">
        <is>
          <t>EUR</t>
        </is>
      </c>
      <c r="D162" s="270" t="n">
        <v>1</v>
      </c>
      <c r="E162" s="305" t="n">
        <v>1</v>
      </c>
      <c r="F162" s="302">
        <f>IFERROR(B162*D162*E162,"")</f>
        <v/>
      </c>
      <c r="G162" s="244" t="n"/>
      <c r="I162" s="306" t="n"/>
      <c r="J162" s="306" t="n"/>
      <c r="K162" s="306" t="n"/>
      <c r="L162" s="306" t="n"/>
      <c r="M162" s="306" t="n"/>
      <c r="N162" s="307" t="n"/>
      <c r="O162" s="306" t="n"/>
      <c r="P162" s="306" t="n"/>
      <c r="Q162" s="306" t="n"/>
      <c r="R162" s="306" t="n"/>
      <c r="S162" s="306" t="n"/>
      <c r="U162" s="308" t="n"/>
    </row>
    <row r="163" hidden="1">
      <c r="A163" s="244">
        <f>IF(J163="","",_xlfn.CONCAT("Kous "&amp;I163&amp;" DN"&amp;P163&amp;" - "&amp;O163&amp;"mm - "&amp;N163&amp;"m - ("&amp;J163&amp;")"))</f>
        <v/>
      </c>
      <c r="B163" s="305">
        <f>IFERROR(IF($K163="UV",IF($S163="S+ liner",($N163*(INDEX(Prijzen!$C$15:$P$70,MATCH($P163,Prijzen!$B$15:$B$70,0),MATCH($O163,Prijzen!$C$14:$O$14,0)))*0.58),IF($S163="M liner",($N163*(INDEX(Prijzen!$C$2:$P$11,MATCH($P163,Prijzen!$B$2:$B$11,0),MATCH($O163,Prijzen!$C$1:$P$1,0))))*0.58,0)),$N163*INDEX(Prijzen!$C$73:$P$94,MATCH($P163,Prijzen!$B$73:$B$94,0),MATCH($O163,Prijzen!$C$72:$P$72,0))),"")</f>
        <v/>
      </c>
      <c r="C163" s="260" t="inlineStr">
        <is>
          <t>EUR</t>
        </is>
      </c>
      <c r="D163" s="270" t="n">
        <v>1</v>
      </c>
      <c r="E163" s="305" t="n">
        <v>1</v>
      </c>
      <c r="F163" s="302">
        <f>IFERROR(B163*D163*E163,"")</f>
        <v/>
      </c>
      <c r="G163" s="244" t="n"/>
      <c r="I163" s="306" t="n"/>
      <c r="J163" s="306" t="n"/>
      <c r="K163" s="306" t="n"/>
      <c r="L163" s="306" t="n"/>
      <c r="M163" s="306" t="n"/>
      <c r="N163" s="307" t="n"/>
      <c r="O163" s="306" t="n"/>
      <c r="P163" s="306" t="n"/>
      <c r="Q163" s="306" t="n"/>
      <c r="R163" s="306" t="n"/>
      <c r="S163" s="306" t="n"/>
      <c r="U163" s="308" t="n"/>
    </row>
    <row r="164" hidden="1">
      <c r="A164" s="244">
        <f>IF(J164="","",_xlfn.CONCAT("Kous "&amp;I164&amp;" DN"&amp;P164&amp;" - "&amp;O164&amp;"mm - "&amp;N164&amp;"m - ("&amp;J164&amp;")"))</f>
        <v/>
      </c>
      <c r="B164" s="305">
        <f>IFERROR(IF($K164="UV",IF($S164="S+ liner",($N164*(INDEX(Prijzen!$C$15:$P$70,MATCH($P164,Prijzen!$B$15:$B$70,0),MATCH($O164,Prijzen!$C$14:$O$14,0)))*0.58),IF($S164="M liner",($N164*(INDEX(Prijzen!$C$2:$P$11,MATCH($P164,Prijzen!$B$2:$B$11,0),MATCH($O164,Prijzen!$C$1:$P$1,0))))*0.58,0)),$N164*INDEX(Prijzen!$C$73:$P$94,MATCH($P164,Prijzen!$B$73:$B$94,0),MATCH($O164,Prijzen!$C$72:$P$72,0))),"")</f>
        <v/>
      </c>
      <c r="C164" s="260" t="inlineStr">
        <is>
          <t>EUR</t>
        </is>
      </c>
      <c r="D164" s="270" t="n">
        <v>1</v>
      </c>
      <c r="E164" s="305" t="n">
        <v>1</v>
      </c>
      <c r="F164" s="302">
        <f>IFERROR(B164*D164*E164,"")</f>
        <v/>
      </c>
      <c r="G164" s="244" t="n"/>
      <c r="I164" s="306" t="n"/>
      <c r="J164" s="306" t="n"/>
      <c r="K164" s="306" t="n"/>
      <c r="L164" s="306" t="n"/>
      <c r="M164" s="306" t="n"/>
      <c r="N164" s="307" t="n"/>
      <c r="O164" s="306" t="n"/>
      <c r="P164" s="306" t="n"/>
      <c r="Q164" s="306" t="n"/>
      <c r="R164" s="306" t="n"/>
      <c r="S164" s="306" t="n"/>
      <c r="U164" s="308" t="n"/>
    </row>
    <row r="165" hidden="1">
      <c r="A165" s="244">
        <f>IF(J165="","",_xlfn.CONCAT("Kous "&amp;I165&amp;" DN"&amp;P165&amp;" - "&amp;O165&amp;"mm - "&amp;N165&amp;"m - ("&amp;J165&amp;")"))</f>
        <v/>
      </c>
      <c r="B165" s="305">
        <f>IFERROR(IF($K165="UV",IF($S165="S+ liner",($N165*(INDEX(Prijzen!$C$15:$P$70,MATCH($P165,Prijzen!$B$15:$B$70,0),MATCH($O165,Prijzen!$C$14:$O$14,0)))*0.58),IF($S165="M liner",($N165*(INDEX(Prijzen!$C$2:$P$11,MATCH($P165,Prijzen!$B$2:$B$11,0),MATCH($O165,Prijzen!$C$1:$P$1,0))))*0.58,0)),$N165*INDEX(Prijzen!$C$73:$P$94,MATCH($P165,Prijzen!$B$73:$B$94,0),MATCH($O165,Prijzen!$C$72:$P$72,0))),"")</f>
        <v/>
      </c>
      <c r="C165" s="260" t="inlineStr">
        <is>
          <t>EUR</t>
        </is>
      </c>
      <c r="D165" s="270" t="n">
        <v>1</v>
      </c>
      <c r="E165" s="305" t="n">
        <v>1</v>
      </c>
      <c r="F165" s="302">
        <f>IFERROR(B165*D165*E165,"")</f>
        <v/>
      </c>
      <c r="G165" s="244" t="n"/>
      <c r="I165" s="306" t="n"/>
      <c r="J165" s="306" t="n"/>
      <c r="K165" s="306" t="n"/>
      <c r="L165" s="306" t="n"/>
      <c r="M165" s="306" t="n"/>
      <c r="N165" s="307" t="n"/>
      <c r="O165" s="306" t="n"/>
      <c r="P165" s="306" t="n"/>
      <c r="Q165" s="306" t="n"/>
      <c r="R165" s="306" t="n"/>
      <c r="S165" s="306" t="n"/>
      <c r="U165" s="308" t="n"/>
    </row>
    <row r="166" hidden="1">
      <c r="A166" s="244">
        <f>IF(J166="","",_xlfn.CONCAT("Kous "&amp;I166&amp;" DN"&amp;P166&amp;" - "&amp;O166&amp;"mm - "&amp;N166&amp;"m - ("&amp;J166&amp;")"))</f>
        <v/>
      </c>
      <c r="B166" s="305">
        <f>IFERROR(IF($K166="UV",IF($S166="S+ liner",($N166*(INDEX(Prijzen!$C$15:$P$70,MATCH($P166,Prijzen!$B$15:$B$70,0),MATCH($O166,Prijzen!$C$14:$O$14,0)))*0.58),IF($S166="M liner",($N166*(INDEX(Prijzen!$C$2:$P$11,MATCH($P166,Prijzen!$B$2:$B$11,0),MATCH($O166,Prijzen!$C$1:$P$1,0))))*0.58,0)),$N166*INDEX(Prijzen!$C$73:$P$94,MATCH($P166,Prijzen!$B$73:$B$94,0),MATCH($O166,Prijzen!$C$72:$P$72,0))),"")</f>
        <v/>
      </c>
      <c r="C166" s="260" t="inlineStr">
        <is>
          <t>EUR</t>
        </is>
      </c>
      <c r="D166" s="270" t="n">
        <v>1</v>
      </c>
      <c r="E166" s="305" t="n">
        <v>1</v>
      </c>
      <c r="F166" s="302">
        <f>IFERROR(B166*D166*E166,"")</f>
        <v/>
      </c>
      <c r="G166" s="244" t="n"/>
      <c r="I166" s="306" t="n"/>
      <c r="J166" s="306" t="n"/>
      <c r="K166" s="306" t="n"/>
      <c r="L166" s="306" t="n"/>
      <c r="M166" s="306" t="n"/>
      <c r="N166" s="307" t="n"/>
      <c r="O166" s="306" t="n"/>
      <c r="P166" s="306" t="n"/>
      <c r="Q166" s="306" t="n"/>
      <c r="R166" s="306" t="n"/>
      <c r="S166" s="306" t="n"/>
      <c r="U166" s="308" t="n"/>
    </row>
    <row r="167" hidden="1">
      <c r="A167" s="244">
        <f>IF(J167="","",_xlfn.CONCAT("Kous "&amp;I167&amp;" DN"&amp;P167&amp;" - "&amp;O167&amp;"mm - "&amp;N167&amp;"m - ("&amp;J167&amp;")"))</f>
        <v/>
      </c>
      <c r="B167" s="305">
        <f>IFERROR(IF($K167="UV",IF($S167="S+ liner",($N167*(INDEX(Prijzen!$C$15:$P$70,MATCH($P167,Prijzen!$B$15:$B$70,0),MATCH($O167,Prijzen!$C$14:$O$14,0)))*0.58),IF($S167="M liner",($N167*(INDEX(Prijzen!$C$2:$P$11,MATCH($P167,Prijzen!$B$2:$B$11,0),MATCH($O167,Prijzen!$C$1:$P$1,0))))*0.58,0)),$N167*INDEX(Prijzen!$C$73:$P$94,MATCH($P167,Prijzen!$B$73:$B$94,0),MATCH($O167,Prijzen!$C$72:$P$72,0))),"")</f>
        <v/>
      </c>
      <c r="C167" s="260" t="inlineStr">
        <is>
          <t>EUR</t>
        </is>
      </c>
      <c r="D167" s="270" t="n">
        <v>1</v>
      </c>
      <c r="E167" s="305" t="n">
        <v>1</v>
      </c>
      <c r="F167" s="302">
        <f>IFERROR(B167*D167*E167,"")</f>
        <v/>
      </c>
      <c r="G167" s="244" t="n"/>
      <c r="I167" s="306" t="n"/>
      <c r="J167" s="306" t="n"/>
      <c r="K167" s="306" t="n"/>
      <c r="L167" s="306" t="n"/>
      <c r="M167" s="306" t="n"/>
      <c r="N167" s="307" t="n"/>
      <c r="O167" s="306" t="n"/>
      <c r="P167" s="306" t="n"/>
      <c r="Q167" s="306" t="n"/>
      <c r="R167" s="306" t="n"/>
      <c r="S167" s="306" t="n"/>
      <c r="U167" s="308" t="n"/>
    </row>
    <row r="168" hidden="1">
      <c r="A168" s="244">
        <f>IF(J168="","",_xlfn.CONCAT("Kous "&amp;I168&amp;" DN"&amp;P168&amp;" - "&amp;O168&amp;"mm - "&amp;N168&amp;"m - ("&amp;J168&amp;")"))</f>
        <v/>
      </c>
      <c r="B168" s="305">
        <f>IFERROR(IF($K168="UV",IF($S168="S+ liner",($N168*(INDEX(Prijzen!$C$15:$P$70,MATCH($P168,Prijzen!$B$15:$B$70,0),MATCH($O168,Prijzen!$C$14:$O$14,0)))*0.58),IF($S168="M liner",($N168*(INDEX(Prijzen!$C$2:$P$11,MATCH($P168,Prijzen!$B$2:$B$11,0),MATCH($O168,Prijzen!$C$1:$P$1,0))))*0.58,0)),$N168*INDEX(Prijzen!$C$73:$P$94,MATCH($P168,Prijzen!$B$73:$B$94,0),MATCH($O168,Prijzen!$C$72:$P$72,0))),"")</f>
        <v/>
      </c>
      <c r="C168" s="260" t="inlineStr">
        <is>
          <t>EUR</t>
        </is>
      </c>
      <c r="D168" s="270" t="n">
        <v>1</v>
      </c>
      <c r="E168" s="305" t="n">
        <v>1</v>
      </c>
      <c r="F168" s="302">
        <f>IFERROR(B168*D168*E168,"")</f>
        <v/>
      </c>
      <c r="G168" s="244" t="n"/>
      <c r="I168" s="306" t="n"/>
      <c r="J168" s="306" t="n"/>
      <c r="K168" s="306" t="n"/>
      <c r="L168" s="306" t="n"/>
      <c r="M168" s="306" t="n"/>
      <c r="N168" s="307" t="n"/>
      <c r="O168" s="306" t="n"/>
      <c r="P168" s="306" t="n"/>
      <c r="Q168" s="306" t="n"/>
      <c r="R168" s="306" t="n"/>
      <c r="S168" s="306" t="n"/>
      <c r="U168" s="308" t="n"/>
    </row>
    <row r="169" hidden="1" ht="14.25" customHeight="1">
      <c r="A169" s="244">
        <f>IF(J169="","",_xlfn.CONCAT("Kous "&amp;I169&amp;" DN"&amp;P169&amp;" - "&amp;O169&amp;"mm - "&amp;N169&amp;"m - ("&amp;J169&amp;")"))</f>
        <v/>
      </c>
      <c r="B169" s="305">
        <f>IFERROR(IF($K169="UV",IF($S169="S+ liner",($N169*(INDEX(Prijzen!$C$15:$P$70,MATCH($P169,Prijzen!$B$15:$B$70,0),MATCH($O169,Prijzen!$C$14:$O$14,0)))*0.58),IF($S169="M liner",($N169*(INDEX(Prijzen!$C$2:$P$11,MATCH($P169,Prijzen!$B$2:$B$11,0),MATCH($O169,Prijzen!$C$1:$P$1,0))))*0.58,0)),$N169*INDEX(Prijzen!$C$73:$P$94,MATCH($P169,Prijzen!$B$73:$B$94,0),MATCH($O169,Prijzen!$C$72:$P$72,0))),"")</f>
        <v/>
      </c>
      <c r="C169" s="260" t="inlineStr">
        <is>
          <t>EUR</t>
        </is>
      </c>
      <c r="D169" s="270" t="n">
        <v>1</v>
      </c>
      <c r="E169" s="305" t="n">
        <v>1</v>
      </c>
      <c r="F169" s="302">
        <f>IFERROR(B169*D169*E169,"")</f>
        <v/>
      </c>
      <c r="G169" s="244" t="n"/>
      <c r="I169" s="306" t="n"/>
      <c r="J169" s="306" t="n"/>
      <c r="K169" s="306" t="n"/>
      <c r="L169" s="306" t="n"/>
      <c r="M169" s="306" t="n"/>
      <c r="N169" s="307" t="n"/>
      <c r="O169" s="306" t="n"/>
      <c r="P169" s="306" t="n"/>
      <c r="Q169" s="306" t="n"/>
      <c r="R169" s="306" t="n"/>
      <c r="S169" s="306" t="n"/>
      <c r="U169" s="308" t="n"/>
    </row>
    <row r="170" hidden="1">
      <c r="A170" s="244">
        <f>IF(J170="","",_xlfn.CONCAT("Kous "&amp;I170&amp;" DN"&amp;P170&amp;" - "&amp;O170&amp;"mm - "&amp;N170&amp;"m - ("&amp;J170&amp;")"))</f>
        <v/>
      </c>
      <c r="B170" s="305">
        <f>IFERROR(IF($K170="UV",IF($S170="S+ liner",($N170*(INDEX(Prijzen!$C$15:$P$70,MATCH($P170,Prijzen!$B$15:$B$70,0),MATCH($O170,Prijzen!$C$14:$O$14,0)))*0.58),IF($S170="M liner",($N170*(INDEX(Prijzen!$C$2:$P$11,MATCH($P170,Prijzen!$B$2:$B$11,0),MATCH($O170,Prijzen!$C$1:$P$1,0))))*0.58,0)),$N170*INDEX(Prijzen!$C$73:$P$94,MATCH($P170,Prijzen!$B$73:$B$94,0),MATCH($O170,Prijzen!$C$72:$P$72,0))),"")</f>
        <v/>
      </c>
      <c r="C170" s="260" t="inlineStr">
        <is>
          <t>EUR</t>
        </is>
      </c>
      <c r="D170" s="270" t="n">
        <v>1</v>
      </c>
      <c r="E170" s="305" t="n">
        <v>1</v>
      </c>
      <c r="F170" s="302">
        <f>IFERROR(B170*D170*E170,"")</f>
        <v/>
      </c>
      <c r="G170" s="244" t="n"/>
      <c r="I170" s="306" t="n"/>
      <c r="J170" s="306" t="n"/>
      <c r="K170" s="306" t="n"/>
      <c r="L170" s="306" t="n"/>
      <c r="M170" s="306" t="n"/>
      <c r="N170" s="307" t="n"/>
      <c r="O170" s="306" t="n"/>
      <c r="P170" s="306" t="n"/>
      <c r="Q170" s="306" t="n"/>
      <c r="R170" s="306" t="n"/>
      <c r="S170" s="306" t="n"/>
      <c r="U170" s="308" t="n"/>
    </row>
    <row r="171" hidden="1">
      <c r="A171" s="244">
        <f>IF(J171="","",_xlfn.CONCAT("Kous "&amp;I171&amp;" DN"&amp;P171&amp;" - "&amp;O171&amp;"mm - "&amp;N171&amp;"m - ("&amp;J171&amp;")"))</f>
        <v/>
      </c>
      <c r="B171" s="305">
        <f>IFERROR(IF($K171="UV",IF($S171="S+ liner",($N171*(INDEX(Prijzen!$C$15:$P$70,MATCH($P171,Prijzen!$B$15:$B$70,0),MATCH($O171,Prijzen!$C$14:$O$14,0)))*0.58),IF($S171="M liner",($N171*(INDEX(Prijzen!$C$2:$P$11,MATCH($P171,Prijzen!$B$2:$B$11,0),MATCH($O171,Prijzen!$C$1:$P$1,0))))*0.58,0)),$N171*INDEX(Prijzen!$C$73:$P$94,MATCH($P171,Prijzen!$B$73:$B$94,0),MATCH($O171,Prijzen!$C$72:$P$72,0))),"")</f>
        <v/>
      </c>
      <c r="C171" s="260" t="inlineStr">
        <is>
          <t>EUR</t>
        </is>
      </c>
      <c r="D171" s="270" t="n">
        <v>1</v>
      </c>
      <c r="E171" s="305" t="n">
        <v>1</v>
      </c>
      <c r="F171" s="302">
        <f>IFERROR(B171*D171*E171,"")</f>
        <v/>
      </c>
      <c r="G171" s="244" t="n"/>
      <c r="I171" s="306" t="n"/>
      <c r="J171" s="306" t="n"/>
      <c r="K171" s="306" t="n"/>
      <c r="L171" s="306" t="n"/>
      <c r="M171" s="306" t="n"/>
      <c r="N171" s="307" t="n"/>
      <c r="O171" s="306" t="n"/>
      <c r="P171" s="306" t="n"/>
      <c r="Q171" s="306" t="n"/>
      <c r="R171" s="306" t="n"/>
      <c r="S171" s="306" t="n"/>
      <c r="U171" s="308" t="n"/>
    </row>
    <row r="172" hidden="1">
      <c r="A172" s="244">
        <f>IF(J172="","",_xlfn.CONCAT("Kous "&amp;I172&amp;" DN"&amp;P172&amp;" - "&amp;O172&amp;"mm - "&amp;N172&amp;"m - ("&amp;J172&amp;")"))</f>
        <v/>
      </c>
      <c r="B172" s="305">
        <f>IFERROR(IF($K172="UV",IF($S172="S+ liner",($N172*(INDEX(Prijzen!$C$15:$P$70,MATCH($P172,Prijzen!$B$15:$B$70,0),MATCH($O172,Prijzen!$C$14:$O$14,0)))*0.58),IF($S172="M liner",($N172*(INDEX(Prijzen!$C$2:$P$11,MATCH($P172,Prijzen!$B$2:$B$11,0),MATCH($O172,Prijzen!$C$1:$P$1,0))))*0.58,0)),$N172*INDEX(Prijzen!$C$73:$P$94,MATCH($P172,Prijzen!$B$73:$B$94,0),MATCH($O172,Prijzen!$C$72:$P$72,0))),"")</f>
        <v/>
      </c>
      <c r="C172" s="260" t="inlineStr">
        <is>
          <t>EUR</t>
        </is>
      </c>
      <c r="D172" s="270" t="n">
        <v>1</v>
      </c>
      <c r="E172" s="305" t="n">
        <v>1</v>
      </c>
      <c r="F172" s="302">
        <f>IFERROR(B172*D172*E172,"")</f>
        <v/>
      </c>
      <c r="G172" s="244" t="n"/>
      <c r="I172" s="306" t="n"/>
      <c r="J172" s="306" t="n"/>
      <c r="K172" s="306" t="n"/>
      <c r="L172" s="306" t="n"/>
      <c r="M172" s="306" t="n"/>
      <c r="N172" s="307" t="n"/>
      <c r="O172" s="306" t="n"/>
      <c r="P172" s="306" t="n"/>
      <c r="Q172" s="306" t="n"/>
      <c r="R172" s="306" t="n"/>
      <c r="S172" s="306" t="n"/>
      <c r="U172" s="308" t="n"/>
    </row>
    <row r="173" hidden="1">
      <c r="A173" s="244">
        <f>IF(J173="","",_xlfn.CONCAT("Kous "&amp;I173&amp;" DN"&amp;P173&amp;" - "&amp;O173&amp;"mm - "&amp;N173&amp;"m - ("&amp;J173&amp;")"))</f>
        <v/>
      </c>
      <c r="B173" s="305">
        <f>IFERROR(IF($K173="UV",IF($S173="S+ liner",($N173*(INDEX(Prijzen!$C$15:$P$70,MATCH($P173,Prijzen!$B$15:$B$70,0),MATCH($O173,Prijzen!$C$14:$O$14,0)))*0.58),IF($S173="M liner",($N173*(INDEX(Prijzen!$C$2:$P$11,MATCH($P173,Prijzen!$B$2:$B$11,0),MATCH($O173,Prijzen!$C$1:$P$1,0))))*0.58,0)),$N173*INDEX(Prijzen!$C$73:$P$94,MATCH($P173,Prijzen!$B$73:$B$94,0),MATCH($O173,Prijzen!$C$72:$P$72,0))),"")</f>
        <v/>
      </c>
      <c r="C173" s="260" t="inlineStr">
        <is>
          <t>EUR</t>
        </is>
      </c>
      <c r="D173" s="270" t="n">
        <v>1</v>
      </c>
      <c r="E173" s="305" t="n">
        <v>1</v>
      </c>
      <c r="F173" s="302">
        <f>IFERROR(B173*D173*E173,"")</f>
        <v/>
      </c>
      <c r="G173" s="244" t="n"/>
      <c r="I173" s="306" t="n"/>
      <c r="J173" s="306" t="n"/>
      <c r="K173" s="306" t="n"/>
      <c r="L173" s="306" t="n"/>
      <c r="M173" s="306" t="n"/>
      <c r="N173" s="307" t="n"/>
      <c r="O173" s="306" t="n"/>
      <c r="P173" s="306" t="n"/>
      <c r="Q173" s="306" t="n"/>
      <c r="R173" s="306" t="n"/>
      <c r="S173" s="306" t="n"/>
      <c r="U173" s="308" t="n"/>
    </row>
    <row r="174" hidden="1">
      <c r="A174" s="244">
        <f>IF(J174="","",_xlfn.CONCAT("Kous "&amp;I174&amp;" DN"&amp;P174&amp;" - "&amp;O174&amp;"mm - "&amp;N174&amp;"m - ("&amp;J174&amp;")"))</f>
        <v/>
      </c>
      <c r="B174" s="305">
        <f>IFERROR(IF($K174="UV",IF($S174="S+ liner",($N174*(INDEX(Prijzen!$C$15:$P$70,MATCH($P174,Prijzen!$B$15:$B$70,0),MATCH($O174,Prijzen!$C$14:$O$14,0)))*0.58),IF($S174="M liner",($N174*(INDEX(Prijzen!$C$2:$P$11,MATCH($P174,Prijzen!$B$2:$B$11,0),MATCH($O174,Prijzen!$C$1:$P$1,0))))*0.58,0)),$N174*INDEX(Prijzen!$C$73:$P$94,MATCH($P174,Prijzen!$B$73:$B$94,0),MATCH($O174,Prijzen!$C$72:$P$72,0))),"")</f>
        <v/>
      </c>
      <c r="C174" s="260" t="inlineStr">
        <is>
          <t>EUR</t>
        </is>
      </c>
      <c r="D174" s="270" t="n">
        <v>1</v>
      </c>
      <c r="E174" s="305" t="n">
        <v>1</v>
      </c>
      <c r="F174" s="302">
        <f>IFERROR(B174*D174*E174,"")</f>
        <v/>
      </c>
      <c r="G174" s="244" t="n"/>
      <c r="I174" s="306" t="n"/>
      <c r="J174" s="306" t="n"/>
      <c r="K174" s="306" t="n"/>
      <c r="L174" s="306" t="n"/>
      <c r="M174" s="306" t="n"/>
      <c r="N174" s="307" t="n"/>
      <c r="O174" s="306" t="n"/>
      <c r="P174" s="306" t="n"/>
      <c r="Q174" s="306" t="n"/>
      <c r="R174" s="306" t="n"/>
      <c r="S174" s="306" t="n"/>
      <c r="U174" s="308" t="n"/>
    </row>
    <row r="175" hidden="1">
      <c r="A175" s="244">
        <f>IF(J175="","",_xlfn.CONCAT("Kous "&amp;I175&amp;" DN"&amp;P175&amp;" - "&amp;O175&amp;"mm - "&amp;N175&amp;"m - ("&amp;J175&amp;")"))</f>
        <v/>
      </c>
      <c r="B175" s="305">
        <f>IFERROR(IF($K175="UV",IF($S175="S+ liner",($N175*(INDEX(Prijzen!$C$15:$P$70,MATCH($P175,Prijzen!$B$15:$B$70,0),MATCH($O175,Prijzen!$C$14:$O$14,0)))*0.58),IF($S175="M liner",($N175*(INDEX(Prijzen!$C$2:$P$11,MATCH($P175,Prijzen!$B$2:$B$11,0),MATCH($O175,Prijzen!$C$1:$P$1,0))))*0.58,0)),$N175*INDEX(Prijzen!$C$73:$P$94,MATCH($P175,Prijzen!$B$73:$B$94,0),MATCH($O175,Prijzen!$C$72:$P$72,0))),"")</f>
        <v/>
      </c>
      <c r="C175" s="260" t="inlineStr">
        <is>
          <t>EUR</t>
        </is>
      </c>
      <c r="D175" s="270" t="n">
        <v>1</v>
      </c>
      <c r="E175" s="305" t="n">
        <v>1</v>
      </c>
      <c r="F175" s="302">
        <f>IFERROR(B175*D175*E175,"")</f>
        <v/>
      </c>
      <c r="G175" s="244" t="n"/>
      <c r="I175" s="306" t="n"/>
      <c r="J175" s="306" t="n"/>
      <c r="K175" s="306" t="n"/>
      <c r="L175" s="306" t="n"/>
      <c r="M175" s="306" t="n"/>
      <c r="N175" s="307" t="n"/>
      <c r="O175" s="306" t="n"/>
      <c r="P175" s="306" t="n"/>
      <c r="Q175" s="306" t="n"/>
      <c r="R175" s="306" t="n"/>
      <c r="S175" s="306" t="n"/>
      <c r="U175" s="308" t="n"/>
    </row>
    <row r="176" hidden="1">
      <c r="A176" s="244">
        <f>IF(J176="","",_xlfn.CONCAT("Kous "&amp;I176&amp;" DN"&amp;P176&amp;" - "&amp;O176&amp;"mm - "&amp;N176&amp;"m - ("&amp;J176&amp;")"))</f>
        <v/>
      </c>
      <c r="B176" s="305">
        <f>IFERROR(IF($K176="UV",IF($S176="S+ liner",($N176*(INDEX(Prijzen!$C$15:$P$70,MATCH($P176,Prijzen!$B$15:$B$70,0),MATCH($O176,Prijzen!$C$14:$O$14,0)))*0.58),IF($S176="M liner",($N176*(INDEX(Prijzen!$C$2:$P$11,MATCH($P176,Prijzen!$B$2:$B$11,0),MATCH($O176,Prijzen!$C$1:$P$1,0))))*0.58,0)),$N176*INDEX(Prijzen!$C$73:$P$94,MATCH($P176,Prijzen!$B$73:$B$94,0),MATCH($O176,Prijzen!$C$72:$P$72,0))),"")</f>
        <v/>
      </c>
      <c r="C176" s="260" t="inlineStr">
        <is>
          <t>EUR</t>
        </is>
      </c>
      <c r="D176" s="270" t="n">
        <v>1</v>
      </c>
      <c r="E176" s="305" t="n">
        <v>1</v>
      </c>
      <c r="F176" s="302">
        <f>IFERROR(B176*D176*E176,"")</f>
        <v/>
      </c>
      <c r="G176" s="244" t="n"/>
      <c r="I176" s="306" t="n"/>
      <c r="J176" s="306" t="n"/>
      <c r="K176" s="306" t="n"/>
      <c r="L176" s="306" t="n"/>
      <c r="M176" s="306" t="n"/>
      <c r="N176" s="307" t="n"/>
      <c r="O176" s="306" t="n"/>
      <c r="P176" s="306" t="n"/>
      <c r="Q176" s="306" t="n"/>
      <c r="R176" s="306" t="n"/>
      <c r="S176" s="306" t="n"/>
      <c r="U176" s="308" t="n"/>
    </row>
    <row r="177" hidden="1">
      <c r="A177" s="244">
        <f>IF(J177="","",_xlfn.CONCAT("Kous "&amp;I177&amp;" DN"&amp;P177&amp;" - "&amp;O177&amp;"mm - "&amp;N177&amp;"m - ("&amp;J177&amp;")"))</f>
        <v/>
      </c>
      <c r="B177" s="305">
        <f>IFERROR(IF($K177="UV",IF($S177="S+ liner",($N177*(INDEX(Prijzen!$C$15:$P$70,MATCH($P177,Prijzen!$B$15:$B$70,0),MATCH($O177,Prijzen!$C$14:$O$14,0)))*0.58),IF($S177="M liner",($N177*(INDEX(Prijzen!$C$2:$P$11,MATCH($P177,Prijzen!$B$2:$B$11,0),MATCH($O177,Prijzen!$C$1:$P$1,0))))*0.58,0)),$N177*INDEX(Prijzen!$C$73:$P$94,MATCH($P177,Prijzen!$B$73:$B$94,0),MATCH($O177,Prijzen!$C$72:$P$72,0))),"")</f>
        <v/>
      </c>
      <c r="C177" s="260" t="inlineStr">
        <is>
          <t>EUR</t>
        </is>
      </c>
      <c r="D177" s="270" t="n">
        <v>1</v>
      </c>
      <c r="E177" s="305" t="n">
        <v>1</v>
      </c>
      <c r="F177" s="302">
        <f>IFERROR(B177*D177*E177,"")</f>
        <v/>
      </c>
      <c r="G177" s="244" t="n"/>
      <c r="I177" s="306" t="n"/>
      <c r="J177" s="306" t="n"/>
      <c r="K177" s="306" t="n"/>
      <c r="L177" s="306" t="n"/>
      <c r="M177" s="306" t="n"/>
      <c r="N177" s="307" t="n"/>
      <c r="O177" s="306" t="n"/>
      <c r="P177" s="306" t="n"/>
      <c r="Q177" s="306" t="n"/>
      <c r="R177" s="306" t="n"/>
      <c r="S177" s="306" t="n"/>
      <c r="U177" s="308" t="n"/>
    </row>
    <row r="178" hidden="1">
      <c r="A178" s="244">
        <f>IF(J178="","",_xlfn.CONCAT("Kous "&amp;I178&amp;" DN"&amp;P178&amp;" - "&amp;O178&amp;"mm - "&amp;N178&amp;"m - ("&amp;J178&amp;")"))</f>
        <v/>
      </c>
      <c r="B178" s="305">
        <f>IFERROR(IF($K178="UV",IF($S178="S+ liner",($N178*(INDEX(Prijzen!$C$15:$P$70,MATCH($P178,Prijzen!$B$15:$B$70,0),MATCH($O178,Prijzen!$C$14:$O$14,0)))*0.58),IF($S178="M liner",($N178*(INDEX(Prijzen!$C$2:$P$11,MATCH($P178,Prijzen!$B$2:$B$11,0),MATCH($O178,Prijzen!$C$1:$P$1,0))))*0.58,0)),$N178*INDEX(Prijzen!$C$73:$P$94,MATCH($P178,Prijzen!$B$73:$B$94,0),MATCH($O178,Prijzen!$C$72:$P$72,0))),"")</f>
        <v/>
      </c>
      <c r="C178" s="260" t="inlineStr">
        <is>
          <t>EUR</t>
        </is>
      </c>
      <c r="D178" s="270" t="n">
        <v>1</v>
      </c>
      <c r="E178" s="305" t="n">
        <v>1</v>
      </c>
      <c r="F178" s="302">
        <f>IFERROR(B178*D178*E178,"")</f>
        <v/>
      </c>
      <c r="G178" s="244" t="n"/>
      <c r="I178" s="306" t="n"/>
      <c r="J178" s="306" t="n"/>
      <c r="K178" s="306" t="n"/>
      <c r="L178" s="306" t="n"/>
      <c r="M178" s="306" t="n"/>
      <c r="N178" s="307" t="n"/>
      <c r="O178" s="306" t="n"/>
      <c r="P178" s="306" t="n"/>
      <c r="Q178" s="306" t="n"/>
      <c r="R178" s="306" t="n"/>
      <c r="S178" s="306" t="n"/>
      <c r="U178" s="308" t="n"/>
    </row>
    <row r="179" hidden="1">
      <c r="A179" s="244">
        <f>IF(J179="","",_xlfn.CONCAT("Kous "&amp;I179&amp;" DN"&amp;P179&amp;" - "&amp;O179&amp;"mm - "&amp;N179&amp;"m - ("&amp;J179&amp;")"))</f>
        <v/>
      </c>
      <c r="B179" s="305">
        <f>IFERROR(IF($K179="UV",IF($S179="S+ liner",($N179*(INDEX(Prijzen!$C$15:$P$70,MATCH($P179,Prijzen!$B$15:$B$70,0),MATCH($O179,Prijzen!$C$14:$O$14,0)))*0.58),IF($S179="M liner",($N179*(INDEX(Prijzen!$C$2:$P$11,MATCH($P179,Prijzen!$B$2:$B$11,0),MATCH($O179,Prijzen!$C$1:$P$1,0))))*0.58,0)),$N179*INDEX(Prijzen!$C$73:$P$94,MATCH($P179,Prijzen!$B$73:$B$94,0),MATCH($O179,Prijzen!$C$72:$P$72,0))),"")</f>
        <v/>
      </c>
      <c r="C179" s="260" t="inlineStr">
        <is>
          <t>EUR</t>
        </is>
      </c>
      <c r="D179" s="270" t="n">
        <v>1</v>
      </c>
      <c r="E179" s="305" t="n">
        <v>1</v>
      </c>
      <c r="F179" s="302">
        <f>IFERROR(B179*D179*E179,"")</f>
        <v/>
      </c>
      <c r="G179" s="244" t="n"/>
      <c r="I179" s="306" t="n"/>
      <c r="J179" s="306" t="n"/>
      <c r="K179" s="306" t="n"/>
      <c r="L179" s="306" t="n"/>
      <c r="M179" s="306" t="n"/>
      <c r="N179" s="307" t="n"/>
      <c r="O179" s="306" t="n"/>
      <c r="P179" s="306" t="n"/>
      <c r="Q179" s="306" t="n"/>
      <c r="R179" s="306" t="n"/>
      <c r="S179" s="306" t="n"/>
      <c r="U179" s="308" t="n"/>
    </row>
    <row r="180" hidden="1">
      <c r="A180" s="244">
        <f>IF(J180="","",_xlfn.CONCAT("Kous "&amp;I180&amp;" DN"&amp;P180&amp;" - "&amp;O180&amp;"mm - "&amp;N180&amp;"m - ("&amp;J180&amp;")"))</f>
        <v/>
      </c>
      <c r="B180" s="305">
        <f>IFERROR(IF($K180="UV",IF($S180="S+ liner",($N180*(INDEX(Prijzen!$C$15:$P$70,MATCH($P180,Prijzen!$B$15:$B$70,0),MATCH($O180,Prijzen!$C$14:$O$14,0)))*0.58),IF($S180="M liner",($N180*(INDEX(Prijzen!$C$2:$P$11,MATCH($P180,Prijzen!$B$2:$B$11,0),MATCH($O180,Prijzen!$C$1:$P$1,0))))*0.58,0)),$N180*INDEX(Prijzen!$C$73:$P$94,MATCH($P180,Prijzen!$B$73:$B$94,0),MATCH($O180,Prijzen!$C$72:$P$72,0))),"")</f>
        <v/>
      </c>
      <c r="C180" s="260" t="inlineStr">
        <is>
          <t>EUR</t>
        </is>
      </c>
      <c r="D180" s="270" t="n">
        <v>1</v>
      </c>
      <c r="E180" s="305" t="n">
        <v>1</v>
      </c>
      <c r="F180" s="302">
        <f>IFERROR(B180*D180*E180,"")</f>
        <v/>
      </c>
      <c r="G180" s="244" t="n"/>
      <c r="I180" s="306" t="n"/>
      <c r="J180" s="306" t="n"/>
      <c r="K180" s="306" t="n"/>
      <c r="L180" s="306" t="n"/>
      <c r="M180" s="306" t="n"/>
      <c r="N180" s="307" t="n"/>
      <c r="O180" s="306" t="n"/>
      <c r="P180" s="306" t="n"/>
      <c r="Q180" s="306" t="n"/>
      <c r="R180" s="306" t="n"/>
      <c r="S180" s="306" t="n"/>
      <c r="U180" s="308" t="n"/>
    </row>
    <row r="181" hidden="1">
      <c r="A181" s="244">
        <f>IF(J181="","",_xlfn.CONCAT("Kous "&amp;I181&amp;" DN"&amp;P181&amp;" - "&amp;O181&amp;"mm - "&amp;N181&amp;"m - ("&amp;J181&amp;")"))</f>
        <v/>
      </c>
      <c r="B181" s="305">
        <f>IFERROR(IF($K181="UV",IF($S181="S+ liner",($N181*(INDEX(Prijzen!$C$15:$P$70,MATCH($P181,Prijzen!$B$15:$B$70,0),MATCH($O181,Prijzen!$C$14:$O$14,0)))*0.58),IF($S181="M liner",($N181*(INDEX(Prijzen!$C$2:$P$11,MATCH($P181,Prijzen!$B$2:$B$11,0),MATCH($O181,Prijzen!$C$1:$P$1,0))))*0.58,0)),$N181*INDEX(Prijzen!$C$73:$P$94,MATCH($P181,Prijzen!$B$73:$B$94,0),MATCH($O181,Prijzen!$C$72:$P$72,0))),"")</f>
        <v/>
      </c>
      <c r="C181" s="260" t="inlineStr">
        <is>
          <t>EUR</t>
        </is>
      </c>
      <c r="D181" s="270" t="n">
        <v>1</v>
      </c>
      <c r="E181" s="305" t="n">
        <v>1</v>
      </c>
      <c r="F181" s="302">
        <f>IFERROR(B181*D181*E181,"")</f>
        <v/>
      </c>
      <c r="G181" s="244" t="n"/>
      <c r="I181" s="306" t="n"/>
      <c r="J181" s="306" t="n"/>
      <c r="K181" s="306" t="n"/>
      <c r="L181" s="306" t="n"/>
      <c r="M181" s="306" t="n"/>
      <c r="N181" s="307" t="n"/>
      <c r="O181" s="306" t="n"/>
      <c r="P181" s="306" t="n"/>
      <c r="Q181" s="306" t="n"/>
      <c r="R181" s="306" t="n"/>
      <c r="S181" s="306" t="n"/>
      <c r="U181" s="308" t="n"/>
    </row>
    <row r="182" hidden="1">
      <c r="A182" s="244">
        <f>IF(J182="","",_xlfn.CONCAT("Kous "&amp;I182&amp;" DN"&amp;P182&amp;" - "&amp;O182&amp;"mm - "&amp;N182&amp;"m - ("&amp;J182&amp;")"))</f>
        <v/>
      </c>
      <c r="B182" s="305">
        <f>IFERROR(IF($K182="UV",IF($S182="S+ liner",($N182*(INDEX(Prijzen!$C$15:$P$70,MATCH($P182,Prijzen!$B$15:$B$70,0),MATCH($O182,Prijzen!$C$14:$O$14,0)))*0.58),IF($S182="M liner",($N182*(INDEX(Prijzen!$C$2:$P$11,MATCH($P182,Prijzen!$B$2:$B$11,0),MATCH($O182,Prijzen!$C$1:$P$1,0))))*0.58,0)),$N182*INDEX(Prijzen!$C$73:$P$94,MATCH($P182,Prijzen!$B$73:$B$94,0),MATCH($O182,Prijzen!$C$72:$P$72,0))),"")</f>
        <v/>
      </c>
      <c r="C182" s="260" t="inlineStr">
        <is>
          <t>EUR</t>
        </is>
      </c>
      <c r="D182" s="270" t="n">
        <v>1</v>
      </c>
      <c r="E182" s="305" t="n">
        <v>1</v>
      </c>
      <c r="F182" s="302">
        <f>IFERROR(B182*D182*E182,"")</f>
        <v/>
      </c>
      <c r="G182" s="244" t="n"/>
      <c r="I182" s="306" t="n"/>
      <c r="J182" s="306" t="n"/>
      <c r="K182" s="306" t="n"/>
      <c r="L182" s="306" t="n"/>
      <c r="M182" s="306" t="n"/>
      <c r="N182" s="307" t="n"/>
      <c r="O182" s="306" t="n"/>
      <c r="P182" s="306" t="n"/>
      <c r="Q182" s="306" t="n"/>
      <c r="R182" s="306" t="n"/>
      <c r="S182" s="306" t="n"/>
      <c r="U182" s="308" t="n"/>
    </row>
    <row r="183" hidden="1">
      <c r="A183" s="244">
        <f>IF(J183="","",_xlfn.CONCAT("Kous "&amp;I183&amp;" DN"&amp;P183&amp;" - "&amp;O183&amp;"mm - "&amp;N183&amp;"m - ("&amp;J183&amp;")"))</f>
        <v/>
      </c>
      <c r="B183" s="305">
        <f>IFERROR(IF($K183="UV",IF($S183="S+ liner",($N183*(INDEX(Prijzen!$C$15:$P$70,MATCH($P183,Prijzen!$B$15:$B$70,0),MATCH($O183,Prijzen!$C$14:$O$14,0)))*0.58),IF($S183="M liner",($N183*(INDEX(Prijzen!$C$2:$P$11,MATCH($P183,Prijzen!$B$2:$B$11,0),MATCH($O183,Prijzen!$C$1:$P$1,0))))*0.58,0)),$N183*INDEX(Prijzen!$C$73:$P$94,MATCH($P183,Prijzen!$B$73:$B$94,0),MATCH($O183,Prijzen!$C$72:$P$72,0))),"")</f>
        <v/>
      </c>
      <c r="C183" s="260" t="inlineStr">
        <is>
          <t>EUR</t>
        </is>
      </c>
      <c r="D183" s="270" t="n">
        <v>1</v>
      </c>
      <c r="E183" s="305" t="n">
        <v>1</v>
      </c>
      <c r="F183" s="302">
        <f>IFERROR(B183*D183*E183,"")</f>
        <v/>
      </c>
      <c r="G183" s="244" t="n"/>
      <c r="I183" s="306" t="n"/>
      <c r="J183" s="306" t="n"/>
      <c r="K183" s="306" t="n"/>
      <c r="L183" s="306" t="n"/>
      <c r="M183" s="306" t="n"/>
      <c r="N183" s="307" t="n"/>
      <c r="O183" s="306" t="n"/>
      <c r="P183" s="306" t="n"/>
      <c r="Q183" s="306" t="n"/>
      <c r="R183" s="306" t="n"/>
      <c r="S183" s="306" t="n"/>
      <c r="U183" s="308" t="n"/>
    </row>
    <row r="184" hidden="1">
      <c r="A184" s="244">
        <f>IF(J184="","",_xlfn.CONCAT("Kous "&amp;I184&amp;" DN"&amp;P184&amp;" - "&amp;O184&amp;"mm - "&amp;N184&amp;"m - ("&amp;J184&amp;")"))</f>
        <v/>
      </c>
      <c r="B184" s="305">
        <f>IFERROR(IF($K184="UV",IF($S184="S+ liner",($N184*(INDEX(Prijzen!$C$15:$P$70,MATCH($P184,Prijzen!$B$15:$B$70,0),MATCH($O184,Prijzen!$C$14:$O$14,0)))*0.58),IF($S184="M liner",($N184*(INDEX(Prijzen!$C$2:$P$11,MATCH($P184,Prijzen!$B$2:$B$11,0),MATCH($O184,Prijzen!$C$1:$P$1,0))))*0.58,0)),$N184*INDEX(Prijzen!$C$73:$P$94,MATCH($P184,Prijzen!$B$73:$B$94,0),MATCH($O184,Prijzen!$C$72:$P$72,0))),"")</f>
        <v/>
      </c>
      <c r="C184" s="260" t="inlineStr">
        <is>
          <t>EUR</t>
        </is>
      </c>
      <c r="D184" s="270" t="n">
        <v>1</v>
      </c>
      <c r="E184" s="305" t="n">
        <v>1</v>
      </c>
      <c r="F184" s="302">
        <f>IFERROR(B184*D184*E184,"")</f>
        <v/>
      </c>
      <c r="G184" s="244" t="n"/>
      <c r="I184" s="306" t="n"/>
      <c r="J184" s="306" t="n"/>
      <c r="K184" s="306" t="n"/>
      <c r="L184" s="306" t="n"/>
      <c r="M184" s="306" t="n"/>
      <c r="N184" s="307" t="n"/>
      <c r="O184" s="306" t="n"/>
      <c r="P184" s="306" t="n"/>
      <c r="Q184" s="306" t="n"/>
      <c r="R184" s="306" t="n"/>
      <c r="S184" s="306" t="n"/>
      <c r="U184" s="308" t="n"/>
    </row>
    <row r="185" hidden="1">
      <c r="A185" s="244">
        <f>IF(J185="","",_xlfn.CONCAT("Kous "&amp;I185&amp;" DN"&amp;P185&amp;" - "&amp;O185&amp;"mm - "&amp;N185&amp;"m - ("&amp;J185&amp;")"))</f>
        <v/>
      </c>
      <c r="B185" s="305">
        <f>IFERROR(IF($K185="UV",IF($S185="S+ liner",($N185*(INDEX(Prijzen!$C$15:$P$70,MATCH($P185,Prijzen!$B$15:$B$70,0),MATCH($O185,Prijzen!$C$14:$O$14,0)))*0.58),IF($S185="M liner",($N185*(INDEX(Prijzen!$C$2:$P$11,MATCH($P185,Prijzen!$B$2:$B$11,0),MATCH($O185,Prijzen!$C$1:$P$1,0))))*0.58,0)),$N185*INDEX(Prijzen!$C$73:$P$94,MATCH($P185,Prijzen!$B$73:$B$94,0),MATCH($O185,Prijzen!$C$72:$P$72,0))),"")</f>
        <v/>
      </c>
      <c r="C185" s="260" t="inlineStr">
        <is>
          <t>EUR</t>
        </is>
      </c>
      <c r="D185" s="270" t="n">
        <v>1</v>
      </c>
      <c r="E185" s="305" t="n">
        <v>1</v>
      </c>
      <c r="F185" s="302">
        <f>IFERROR(B185*D185*E185,"")</f>
        <v/>
      </c>
      <c r="G185" s="244" t="n"/>
      <c r="I185" s="306" t="n"/>
      <c r="J185" s="306" t="n"/>
      <c r="K185" s="306" t="n"/>
      <c r="L185" s="306" t="n"/>
      <c r="M185" s="306" t="n"/>
      <c r="N185" s="307" t="n"/>
      <c r="O185" s="306" t="n"/>
      <c r="P185" s="306" t="n"/>
      <c r="Q185" s="306" t="n"/>
      <c r="R185" s="306" t="n"/>
      <c r="S185" s="306" t="n"/>
      <c r="U185" s="308" t="n"/>
    </row>
    <row r="186" hidden="1">
      <c r="A186" s="244">
        <f>IF(J186="","",_xlfn.CONCAT("Kous "&amp;I186&amp;" DN"&amp;P186&amp;" - "&amp;O186&amp;"mm - "&amp;N186&amp;"m - ("&amp;J186&amp;")"))</f>
        <v/>
      </c>
      <c r="B186" s="305">
        <f>IFERROR(IF($K186="UV",IF($S186="S+ liner",($N186*(INDEX(Prijzen!$C$15:$P$70,MATCH($P186,Prijzen!$B$15:$B$70,0),MATCH($O186,Prijzen!$C$14:$O$14,0)))*0.58),IF($S186="M liner",($N186*(INDEX(Prijzen!$C$2:$P$11,MATCH($P186,Prijzen!$B$2:$B$11,0),MATCH($O186,Prijzen!$C$1:$P$1,0))))*0.58,0)),$N186*INDEX(Prijzen!$C$73:$P$94,MATCH($P186,Prijzen!$B$73:$B$94,0),MATCH($O186,Prijzen!$C$72:$P$72,0))),"")</f>
        <v/>
      </c>
      <c r="C186" s="260" t="inlineStr">
        <is>
          <t>EUR</t>
        </is>
      </c>
      <c r="D186" s="270" t="n">
        <v>1</v>
      </c>
      <c r="E186" s="305" t="n">
        <v>1</v>
      </c>
      <c r="F186" s="302">
        <f>IFERROR(B186*D186*E186,"")</f>
        <v/>
      </c>
      <c r="G186" s="244" t="n"/>
      <c r="I186" s="306" t="n"/>
      <c r="J186" s="306" t="n"/>
      <c r="K186" s="306" t="n"/>
      <c r="L186" s="306" t="n"/>
      <c r="M186" s="306" t="n"/>
      <c r="N186" s="307" t="n"/>
      <c r="O186" s="306" t="n"/>
      <c r="P186" s="306" t="n"/>
      <c r="Q186" s="306" t="n"/>
      <c r="R186" s="306" t="n"/>
      <c r="S186" s="306" t="n"/>
      <c r="U186" s="308" t="n"/>
    </row>
    <row r="187" hidden="1">
      <c r="A187" s="244">
        <f>IF(J187="","",_xlfn.CONCAT("Kous "&amp;I187&amp;" DN"&amp;P187&amp;" - "&amp;O187&amp;"mm - "&amp;N187&amp;"m - ("&amp;J187&amp;")"))</f>
        <v/>
      </c>
      <c r="B187" s="305">
        <f>IFERROR(IF($K187="UV",IF($S187="S+ liner",($N187*(INDEX(Prijzen!$C$15:$P$70,MATCH($P187,Prijzen!$B$15:$B$70,0),MATCH($O187,Prijzen!$C$14:$O$14,0)))*0.58),IF($S187="M liner",($N187*(INDEX(Prijzen!$C$2:$P$11,MATCH($P187,Prijzen!$B$2:$B$11,0),MATCH($O187,Prijzen!$C$1:$P$1,0))))*0.58,0)),$N187*INDEX(Prijzen!$C$73:$P$94,MATCH($P187,Prijzen!$B$73:$B$94,0),MATCH($O187,Prijzen!$C$72:$P$72,0))),"")</f>
        <v/>
      </c>
      <c r="C187" s="260" t="inlineStr">
        <is>
          <t>EUR</t>
        </is>
      </c>
      <c r="D187" s="270" t="n">
        <v>1</v>
      </c>
      <c r="E187" s="305" t="n">
        <v>1</v>
      </c>
      <c r="F187" s="302">
        <f>IFERROR(B187*D187*E187,"")</f>
        <v/>
      </c>
      <c r="G187" s="244" t="n"/>
      <c r="I187" s="306" t="n"/>
      <c r="J187" s="306" t="n"/>
      <c r="K187" s="306" t="n"/>
      <c r="L187" s="306" t="n"/>
      <c r="M187" s="306" t="n"/>
      <c r="N187" s="307" t="n"/>
      <c r="O187" s="306" t="n"/>
      <c r="P187" s="306" t="n"/>
      <c r="Q187" s="306" t="n"/>
      <c r="R187" s="306" t="n"/>
      <c r="S187" s="306" t="n"/>
      <c r="U187" s="308" t="n"/>
    </row>
    <row r="188" hidden="1">
      <c r="A188" s="244">
        <f>IF(J188="","",_xlfn.CONCAT("Kous "&amp;I188&amp;" DN"&amp;P188&amp;" - "&amp;O188&amp;"mm - "&amp;N188&amp;"m - ("&amp;J188&amp;")"))</f>
        <v/>
      </c>
      <c r="B188" s="305">
        <f>IFERROR(IF($K188="UV",IF($S188="S+ liner",($N188*(INDEX(Prijzen!$C$15:$P$70,MATCH($P188,Prijzen!$B$15:$B$70,0),MATCH($O188,Prijzen!$C$14:$O$14,0)))*0.58),IF($S188="M liner",($N188*(INDEX(Prijzen!$C$2:$P$11,MATCH($P188,Prijzen!$B$2:$B$11,0),MATCH($O188,Prijzen!$C$1:$P$1,0))))*0.58,0)),$N188*INDEX(Prijzen!$C$73:$P$94,MATCH($P188,Prijzen!$B$73:$B$94,0),MATCH($O188,Prijzen!$C$72:$P$72,0))),"")</f>
        <v/>
      </c>
      <c r="C188" s="260" t="inlineStr">
        <is>
          <t>EUR</t>
        </is>
      </c>
      <c r="D188" s="270" t="n">
        <v>1</v>
      </c>
      <c r="E188" s="305" t="n">
        <v>1</v>
      </c>
      <c r="F188" s="302">
        <f>IFERROR(B188*D188*E188,"")</f>
        <v/>
      </c>
      <c r="G188" s="244" t="n"/>
      <c r="I188" s="306" t="n"/>
      <c r="J188" s="306" t="n"/>
      <c r="K188" s="306" t="n"/>
      <c r="L188" s="306" t="n"/>
      <c r="M188" s="306" t="n"/>
      <c r="N188" s="307" t="n"/>
      <c r="O188" s="306" t="n"/>
      <c r="P188" s="306" t="n"/>
      <c r="Q188" s="306" t="n"/>
      <c r="R188" s="306" t="n"/>
      <c r="S188" s="306" t="n"/>
      <c r="U188" s="308" t="n"/>
    </row>
    <row r="189" hidden="1">
      <c r="A189" s="244">
        <f>IF(J189="","",_xlfn.CONCAT("Kous "&amp;I189&amp;" DN"&amp;P189&amp;" - "&amp;O189&amp;"mm - "&amp;N189&amp;"m - ("&amp;J189&amp;")"))</f>
        <v/>
      </c>
      <c r="B189" s="305">
        <f>IFERROR(IF($K189="UV",IF($S189="S+ liner",($N189*(INDEX(Prijzen!$C$15:$P$70,MATCH($P189,Prijzen!$B$15:$B$70,0),MATCH($O189,Prijzen!$C$14:$O$14,0)))*0.58),IF($S189="M liner",($N189*(INDEX(Prijzen!$C$2:$P$11,MATCH($P189,Prijzen!$B$2:$B$11,0),MATCH($O189,Prijzen!$C$1:$P$1,0))))*0.58,0)),$N189*INDEX(Prijzen!$C$73:$P$94,MATCH($P189,Prijzen!$B$73:$B$94,0),MATCH($O189,Prijzen!$C$72:$P$72,0))),"")</f>
        <v/>
      </c>
      <c r="C189" s="260" t="inlineStr">
        <is>
          <t>EUR</t>
        </is>
      </c>
      <c r="D189" s="270" t="n">
        <v>1</v>
      </c>
      <c r="E189" s="305" t="n">
        <v>1</v>
      </c>
      <c r="F189" s="302">
        <f>IFERROR(B189*D189*E189,"")</f>
        <v/>
      </c>
      <c r="G189" s="244" t="n"/>
      <c r="I189" s="306" t="n"/>
      <c r="J189" s="306" t="n"/>
      <c r="K189" s="306" t="n"/>
      <c r="L189" s="306" t="n"/>
      <c r="M189" s="306" t="n"/>
      <c r="N189" s="307" t="n"/>
      <c r="O189" s="306" t="n"/>
      <c r="P189" s="306" t="n"/>
      <c r="Q189" s="306" t="n"/>
      <c r="R189" s="306" t="n"/>
      <c r="S189" s="306" t="n"/>
      <c r="U189" s="308" t="n"/>
    </row>
    <row r="190" hidden="1">
      <c r="A190" s="244">
        <f>IF(J190="","",_xlfn.CONCAT("Kous "&amp;I190&amp;" DN"&amp;P190&amp;" - "&amp;O190&amp;"mm - "&amp;N190&amp;"m - ("&amp;J190&amp;")"))</f>
        <v/>
      </c>
      <c r="B190" s="305">
        <f>IFERROR(IF($K190="UV",IF($S190="S+ liner",($N190*(INDEX(Prijzen!$C$15:$P$70,MATCH($P190,Prijzen!$B$15:$B$70,0),MATCH($O190,Prijzen!$C$14:$O$14,0)))*0.58),IF($S190="M liner",($N190*(INDEX(Prijzen!$C$2:$P$11,MATCH($P190,Prijzen!$B$2:$B$11,0),MATCH($O190,Prijzen!$C$1:$P$1,0))))*0.58,0)),$N190*INDEX(Prijzen!$C$73:$P$94,MATCH($P190,Prijzen!$B$73:$B$94,0),MATCH($O190,Prijzen!$C$72:$P$72,0))),"")</f>
        <v/>
      </c>
      <c r="C190" s="260" t="inlineStr">
        <is>
          <t>EUR</t>
        </is>
      </c>
      <c r="D190" s="270" t="n">
        <v>1</v>
      </c>
      <c r="E190" s="305" t="n">
        <v>1</v>
      </c>
      <c r="F190" s="302">
        <f>IFERROR(B190*D190*E190,"")</f>
        <v/>
      </c>
      <c r="G190" s="244" t="n"/>
      <c r="I190" s="306" t="n"/>
      <c r="J190" s="306" t="n"/>
      <c r="K190" s="306" t="n"/>
      <c r="L190" s="306" t="n"/>
      <c r="M190" s="306" t="n"/>
      <c r="N190" s="307" t="n"/>
      <c r="O190" s="306" t="n"/>
      <c r="P190" s="306" t="n"/>
      <c r="Q190" s="306" t="n"/>
      <c r="R190" s="306" t="n"/>
      <c r="S190" s="306" t="n"/>
      <c r="U190" s="308" t="n"/>
    </row>
    <row r="191" hidden="1">
      <c r="A191" s="244">
        <f>IF(J191="","",_xlfn.CONCAT("Kous "&amp;I191&amp;" DN"&amp;P191&amp;" - "&amp;O191&amp;"mm - "&amp;N191&amp;"m - ("&amp;J191&amp;")"))</f>
        <v/>
      </c>
      <c r="B191" s="305">
        <f>IFERROR(IF($K191="UV",IF($S191="S+ liner",($N191*(INDEX(Prijzen!$C$15:$P$70,MATCH($P191,Prijzen!$B$15:$B$70,0),MATCH($O191,Prijzen!$C$14:$O$14,0)))*0.58),IF($S191="M liner",($N191*(INDEX(Prijzen!$C$2:$P$11,MATCH($P191,Prijzen!$B$2:$B$11,0),MATCH($O191,Prijzen!$C$1:$P$1,0))))*0.58,0)),$N191*INDEX(Prijzen!$C$73:$P$94,MATCH($P191,Prijzen!$B$73:$B$94,0),MATCH($O191,Prijzen!$C$72:$P$72,0))),"")</f>
        <v/>
      </c>
      <c r="C191" s="260" t="inlineStr">
        <is>
          <t>EUR</t>
        </is>
      </c>
      <c r="D191" s="270" t="n">
        <v>1</v>
      </c>
      <c r="E191" s="305" t="n">
        <v>1</v>
      </c>
      <c r="F191" s="302">
        <f>IFERROR(B191*D191*E191,"")</f>
        <v/>
      </c>
      <c r="G191" s="244" t="n"/>
      <c r="I191" s="306" t="n"/>
      <c r="J191" s="306" t="n"/>
      <c r="K191" s="306" t="n"/>
      <c r="L191" s="306" t="n"/>
      <c r="M191" s="306" t="n"/>
      <c r="N191" s="307" t="n"/>
      <c r="O191" s="306" t="n"/>
      <c r="P191" s="306" t="n"/>
      <c r="Q191" s="306" t="n"/>
      <c r="R191" s="306" t="n"/>
      <c r="S191" s="306" t="n"/>
      <c r="U191" s="308" t="n"/>
    </row>
    <row r="192" hidden="1">
      <c r="A192" s="244">
        <f>IF(J192="","",_xlfn.CONCAT("Kous "&amp;I192&amp;" DN"&amp;P192&amp;" - "&amp;O192&amp;"mm - "&amp;N192&amp;"m - ("&amp;J192&amp;")"))</f>
        <v/>
      </c>
      <c r="B192" s="305">
        <f>IFERROR(IF($K192="UV",IF($S192="S+ liner",($N192*(INDEX(Prijzen!$C$15:$P$70,MATCH($P192,Prijzen!$B$15:$B$70,0),MATCH($O192,Prijzen!$C$14:$O$14,0)))*0.58),IF($S192="M liner",($N192*(INDEX(Prijzen!$C$2:$P$11,MATCH($P192,Prijzen!$B$2:$B$11,0),MATCH($O192,Prijzen!$C$1:$P$1,0))))*0.58,0)),$N192*INDEX(Prijzen!$C$73:$P$94,MATCH($P192,Prijzen!$B$73:$B$94,0),MATCH($O192,Prijzen!$C$72:$P$72,0))),"")</f>
        <v/>
      </c>
      <c r="C192" s="260" t="inlineStr">
        <is>
          <t>EUR</t>
        </is>
      </c>
      <c r="D192" s="270" t="n">
        <v>1</v>
      </c>
      <c r="E192" s="305" t="n">
        <v>1</v>
      </c>
      <c r="F192" s="302">
        <f>IFERROR(B192*D192*E192,"")</f>
        <v/>
      </c>
      <c r="G192" s="244" t="n"/>
      <c r="I192" s="306" t="n"/>
      <c r="J192" s="306" t="n"/>
      <c r="K192" s="306" t="n"/>
      <c r="L192" s="306" t="n"/>
      <c r="M192" s="306" t="n"/>
      <c r="N192" s="307" t="n"/>
      <c r="O192" s="306" t="n"/>
      <c r="P192" s="306" t="n"/>
      <c r="Q192" s="306" t="n"/>
      <c r="R192" s="306" t="n"/>
      <c r="S192" s="306" t="n"/>
      <c r="U192" s="308" t="n"/>
    </row>
    <row r="193" hidden="1">
      <c r="A193" s="244">
        <f>IF(J193="","",_xlfn.CONCAT("Kous "&amp;I193&amp;" DN"&amp;P193&amp;" - "&amp;O193&amp;"mm - "&amp;N193&amp;"m - ("&amp;J193&amp;")"))</f>
        <v/>
      </c>
      <c r="B193" s="305">
        <f>IFERROR(IF($K193="UV",IF($S193="S+ liner",($N193*(INDEX(Prijzen!$C$15:$P$70,MATCH($P193,Prijzen!$B$15:$B$70,0),MATCH($O193,Prijzen!$C$14:$O$14,0)))*0.58),IF($S193="M liner",($N193*(INDEX(Prijzen!$C$2:$P$11,MATCH($P193,Prijzen!$B$2:$B$11,0),MATCH($O193,Prijzen!$C$1:$P$1,0))))*0.58,0)),$N193*INDEX(Prijzen!$C$73:$P$94,MATCH($P193,Prijzen!$B$73:$B$94,0),MATCH($O193,Prijzen!$C$72:$P$72,0))),"")</f>
        <v/>
      </c>
      <c r="C193" s="260" t="inlineStr">
        <is>
          <t>EUR</t>
        </is>
      </c>
      <c r="D193" s="270" t="n">
        <v>1</v>
      </c>
      <c r="E193" s="305" t="n">
        <v>1</v>
      </c>
      <c r="F193" s="302">
        <f>IFERROR(B193*D193*E193,"")</f>
        <v/>
      </c>
      <c r="G193" s="244" t="n"/>
      <c r="I193" s="306" t="n"/>
      <c r="J193" s="306" t="n"/>
      <c r="K193" s="306" t="n"/>
      <c r="L193" s="306" t="n"/>
      <c r="M193" s="306" t="n"/>
      <c r="N193" s="307" t="n"/>
      <c r="O193" s="306" t="n"/>
      <c r="P193" s="306" t="n"/>
      <c r="Q193" s="306" t="n"/>
      <c r="R193" s="306" t="n"/>
      <c r="S193" s="306" t="n"/>
      <c r="U193" s="308" t="n"/>
    </row>
    <row r="194" hidden="1">
      <c r="A194" s="244">
        <f>IF(J194="","",_xlfn.CONCAT("Kous "&amp;I194&amp;" DN"&amp;P194&amp;" - "&amp;O194&amp;"mm - "&amp;N194&amp;"m - ("&amp;J194&amp;")"))</f>
        <v/>
      </c>
      <c r="B194" s="305">
        <f>IFERROR(IF($K194="UV",IF($S194="S+ liner",($N194*(INDEX(Prijzen!$C$15:$P$70,MATCH($P194,Prijzen!$B$15:$B$70,0),MATCH($O194,Prijzen!$C$14:$O$14,0)))*0.58),IF($S194="M liner",($N194*(INDEX(Prijzen!$C$2:$P$11,MATCH($P194,Prijzen!$B$2:$B$11,0),MATCH($O194,Prijzen!$C$1:$P$1,0))))*0.58,0)),$N194*INDEX(Prijzen!$C$73:$P$94,MATCH($P194,Prijzen!$B$73:$B$94,0),MATCH($O194,Prijzen!$C$72:$P$72,0))),"")</f>
        <v/>
      </c>
      <c r="C194" s="260" t="inlineStr">
        <is>
          <t>EUR</t>
        </is>
      </c>
      <c r="D194" s="270" t="n">
        <v>1</v>
      </c>
      <c r="E194" s="305" t="n">
        <v>1</v>
      </c>
      <c r="F194" s="302">
        <f>IFERROR(B194*D194*E194,"")</f>
        <v/>
      </c>
      <c r="G194" s="244" t="n"/>
      <c r="I194" s="306" t="n"/>
      <c r="J194" s="306" t="n"/>
      <c r="K194" s="306" t="n"/>
      <c r="L194" s="306" t="n"/>
      <c r="M194" s="306" t="n"/>
      <c r="N194" s="307" t="n"/>
      <c r="O194" s="306" t="n"/>
      <c r="P194" s="306" t="n"/>
      <c r="Q194" s="306" t="n"/>
      <c r="R194" s="306" t="n"/>
      <c r="S194" s="306" t="n"/>
      <c r="U194" s="308" t="n"/>
    </row>
    <row r="195" hidden="1">
      <c r="A195" s="244">
        <f>IF(J195="","",_xlfn.CONCAT("Kous "&amp;I195&amp;" DN"&amp;P195&amp;" - "&amp;O195&amp;"mm - "&amp;N195&amp;"m - ("&amp;J195&amp;")"))</f>
        <v/>
      </c>
      <c r="B195" s="305">
        <f>IFERROR(IF($K195="UV",IF($S195="S+ liner",($N195*(INDEX(Prijzen!$C$15:$P$70,MATCH($P195,Prijzen!$B$15:$B$70,0),MATCH($O195,Prijzen!$C$14:$O$14,0)))*0.58),IF($S195="M liner",($N195*(INDEX(Prijzen!$C$2:$P$11,MATCH($P195,Prijzen!$B$2:$B$11,0),MATCH($O195,Prijzen!$C$1:$P$1,0))))*0.58,0)),$N195*INDEX(Prijzen!$C$73:$P$94,MATCH($P195,Prijzen!$B$73:$B$94,0),MATCH($O195,Prijzen!$C$72:$P$72,0))),"")</f>
        <v/>
      </c>
      <c r="C195" s="260" t="inlineStr">
        <is>
          <t>EUR</t>
        </is>
      </c>
      <c r="D195" s="270" t="n">
        <v>1</v>
      </c>
      <c r="E195" s="305" t="n">
        <v>1</v>
      </c>
      <c r="F195" s="302">
        <f>IFERROR(B195*D195*E195,"")</f>
        <v/>
      </c>
      <c r="G195" s="244" t="n"/>
      <c r="I195" s="306" t="n"/>
      <c r="J195" s="306" t="n"/>
      <c r="K195" s="306" t="n"/>
      <c r="L195" s="306" t="n"/>
      <c r="M195" s="306" t="n"/>
      <c r="N195" s="307" t="n"/>
      <c r="O195" s="306" t="n"/>
      <c r="P195" s="306" t="n"/>
      <c r="Q195" s="306" t="n"/>
      <c r="R195" s="306" t="n"/>
      <c r="S195" s="306" t="n"/>
      <c r="U195" s="308" t="n"/>
    </row>
    <row r="196" hidden="1">
      <c r="A196" s="244">
        <f>IF(J196="","",_xlfn.CONCAT("Kous "&amp;I196&amp;" DN"&amp;P196&amp;" - "&amp;O196&amp;"mm - "&amp;N196&amp;"m - ("&amp;J196&amp;")"))</f>
        <v/>
      </c>
      <c r="B196" s="305">
        <f>IFERROR(IF($K196="UV",IF($S196="S+ liner",($N196*(INDEX(Prijzen!$C$15:$P$70,MATCH($P196,Prijzen!$B$15:$B$70,0),MATCH($O196,Prijzen!$C$14:$O$14,0)))*0.58),IF($S196="M liner",($N196*(INDEX(Prijzen!$C$2:$P$11,MATCH($P196,Prijzen!$B$2:$B$11,0),MATCH($O196,Prijzen!$C$1:$P$1,0))))*0.58,0)),$N196*INDEX(Prijzen!$C$73:$P$94,MATCH($P196,Prijzen!$B$73:$B$94,0),MATCH($O196,Prijzen!$C$72:$P$72,0))),"")</f>
        <v/>
      </c>
      <c r="C196" s="260" t="inlineStr">
        <is>
          <t>EUR</t>
        </is>
      </c>
      <c r="D196" s="270" t="n">
        <v>1</v>
      </c>
      <c r="E196" s="305" t="n">
        <v>1</v>
      </c>
      <c r="F196" s="302">
        <f>IFERROR(B196*D196*E196,"")</f>
        <v/>
      </c>
      <c r="G196" s="244" t="n"/>
      <c r="I196" s="306" t="n"/>
      <c r="J196" s="306" t="n"/>
      <c r="K196" s="306" t="n"/>
      <c r="L196" s="306" t="n"/>
      <c r="M196" s="306" t="n"/>
      <c r="N196" s="307" t="n"/>
      <c r="O196" s="306" t="n"/>
      <c r="P196" s="306" t="n"/>
      <c r="Q196" s="306" t="n"/>
      <c r="R196" s="306" t="n"/>
      <c r="S196" s="306" t="n"/>
      <c r="U196" s="308" t="n"/>
    </row>
    <row r="197" hidden="1">
      <c r="A197" s="244">
        <f>IF(J197="","",_xlfn.CONCAT("Kous "&amp;I197&amp;" DN"&amp;P197&amp;" - "&amp;O197&amp;"mm - "&amp;N197&amp;"m - ("&amp;J197&amp;")"))</f>
        <v/>
      </c>
      <c r="B197" s="305">
        <f>IFERROR(IF($K197="UV",IF($S197="S+ liner",($N197*(INDEX(Prijzen!$C$15:$P$70,MATCH($P197,Prijzen!$B$15:$B$70,0),MATCH($O197,Prijzen!$C$14:$O$14,0)))*0.58),IF($S197="M liner",($N197*(INDEX(Prijzen!$C$2:$P$11,MATCH($P197,Prijzen!$B$2:$B$11,0),MATCH($O197,Prijzen!$C$1:$P$1,0))))*0.58,0)),$N197*INDEX(Prijzen!$C$73:$P$94,MATCH($P197,Prijzen!$B$73:$B$94,0),MATCH($O197,Prijzen!$C$72:$P$72,0))),"")</f>
        <v/>
      </c>
      <c r="C197" s="260" t="inlineStr">
        <is>
          <t>EUR</t>
        </is>
      </c>
      <c r="D197" s="270" t="n">
        <v>1</v>
      </c>
      <c r="E197" s="305" t="n">
        <v>1</v>
      </c>
      <c r="F197" s="302">
        <f>IFERROR(B197*D197*E197,"")</f>
        <v/>
      </c>
      <c r="G197" s="244" t="n"/>
      <c r="I197" s="306" t="n"/>
      <c r="J197" s="306" t="n"/>
      <c r="K197" s="306" t="n"/>
      <c r="L197" s="306" t="n"/>
      <c r="M197" s="306" t="n"/>
      <c r="N197" s="307" t="n"/>
      <c r="O197" s="306" t="n"/>
      <c r="P197" s="306" t="n"/>
      <c r="Q197" s="306" t="n"/>
      <c r="R197" s="306" t="n"/>
      <c r="S197" s="306" t="n"/>
      <c r="U197" s="308" t="n"/>
    </row>
    <row r="198" hidden="1">
      <c r="A198" s="244">
        <f>IF(J198="","",_xlfn.CONCAT("Kous "&amp;I198&amp;" DN"&amp;P198&amp;" - "&amp;O198&amp;"mm - "&amp;N198&amp;"m - ("&amp;J198&amp;")"))</f>
        <v/>
      </c>
      <c r="B198" s="305">
        <f>IFERROR(IF($K198="UV",IF($S198="S+ liner",($N198*(INDEX(Prijzen!$C$15:$P$70,MATCH($P198,Prijzen!$B$15:$B$70,0),MATCH($O198,Prijzen!$C$14:$O$14,0)))*0.58),IF($S198="M liner",($N198*(INDEX(Prijzen!$C$2:$P$11,MATCH($P198,Prijzen!$B$2:$B$11,0),MATCH($O198,Prijzen!$C$1:$P$1,0))))*0.58,0)),$N198*INDEX(Prijzen!$C$73:$P$94,MATCH($P198,Prijzen!$B$73:$B$94,0),MATCH($O198,Prijzen!$C$72:$P$72,0))),"")</f>
        <v/>
      </c>
      <c r="C198" s="260" t="inlineStr">
        <is>
          <t>EUR</t>
        </is>
      </c>
      <c r="D198" s="270" t="n">
        <v>1</v>
      </c>
      <c r="E198" s="305" t="n">
        <v>1</v>
      </c>
      <c r="F198" s="302">
        <f>IFERROR(B198*D198*E198,"")</f>
        <v/>
      </c>
      <c r="G198" s="244" t="n"/>
      <c r="I198" s="306" t="n"/>
      <c r="J198" s="306" t="n"/>
      <c r="K198" s="306" t="n"/>
      <c r="L198" s="306" t="n"/>
      <c r="M198" s="306" t="n"/>
      <c r="N198" s="307" t="n"/>
      <c r="O198" s="306" t="n"/>
      <c r="P198" s="306" t="n"/>
      <c r="Q198" s="306" t="n"/>
      <c r="R198" s="306" t="n"/>
      <c r="S198" s="306" t="n"/>
      <c r="U198" s="308" t="n"/>
    </row>
    <row r="199" hidden="1">
      <c r="A199" s="244">
        <f>IF(J199="","",_xlfn.CONCAT("Kous "&amp;I199&amp;" DN"&amp;P199&amp;" - "&amp;O199&amp;"mm - "&amp;N199&amp;"m - ("&amp;J199&amp;")"))</f>
        <v/>
      </c>
      <c r="B199" s="305">
        <f>IFERROR(IF($K199="UV",IF($S199="S+ liner",($N199*(INDEX(Prijzen!$C$15:$P$70,MATCH($P199,Prijzen!$B$15:$B$70,0),MATCH($O199,Prijzen!$C$14:$O$14,0)))*0.58),IF($S199="M liner",($N199*(INDEX(Prijzen!$C$2:$P$11,MATCH($P199,Prijzen!$B$2:$B$11,0),MATCH($O199,Prijzen!$C$1:$P$1,0))))*0.58,0)),$N199*INDEX(Prijzen!$C$73:$P$94,MATCH($P199,Prijzen!$B$73:$B$94,0),MATCH($O199,Prijzen!$C$72:$P$72,0))),"")</f>
        <v/>
      </c>
      <c r="C199" s="260" t="inlineStr">
        <is>
          <t>EUR</t>
        </is>
      </c>
      <c r="D199" s="270" t="n">
        <v>1</v>
      </c>
      <c r="E199" s="305" t="n">
        <v>1</v>
      </c>
      <c r="F199" s="302">
        <f>IFERROR(B199*D199*E199,"")</f>
        <v/>
      </c>
      <c r="G199" s="244" t="n"/>
      <c r="I199" s="306" t="n"/>
      <c r="J199" s="306" t="n"/>
      <c r="K199" s="306" t="n"/>
      <c r="L199" s="306" t="n"/>
      <c r="M199" s="306" t="n"/>
      <c r="N199" s="307" t="n"/>
      <c r="O199" s="306" t="n"/>
      <c r="P199" s="306" t="n"/>
      <c r="Q199" s="306" t="n"/>
      <c r="R199" s="306" t="n"/>
      <c r="S199" s="306" t="n"/>
    </row>
    <row r="200" hidden="1">
      <c r="A200" s="244">
        <f>IF(J200="","",_xlfn.CONCAT("Kous "&amp;I200&amp;" DN"&amp;P200&amp;" - "&amp;O200&amp;"mm - "&amp;N200&amp;"m - ("&amp;J200&amp;")"))</f>
        <v/>
      </c>
      <c r="B200" s="305">
        <f>IFERROR(IF($K200="UV",IF($S200="S+ liner",($N200*(INDEX(Prijzen!$C$15:$P$70,MATCH($P200,Prijzen!$B$15:$B$70,0),MATCH($O200,Prijzen!$C$14:$O$14,0)))*0.58),IF($S200="M liner",($N200*(INDEX(Prijzen!$C$2:$P$11,MATCH($P200,Prijzen!$B$2:$B$11,0),MATCH($O200,Prijzen!$C$1:$P$1,0))))*0.58,0)),$N200*INDEX(Prijzen!$C$73:$P$94,MATCH($P200,Prijzen!$B$73:$B$94,0),MATCH($O200,Prijzen!$C$72:$P$72,0))),"")</f>
        <v/>
      </c>
      <c r="C200" s="260" t="inlineStr">
        <is>
          <t>EUR</t>
        </is>
      </c>
      <c r="D200" s="270" t="n">
        <v>1</v>
      </c>
      <c r="E200" s="305" t="n">
        <v>1</v>
      </c>
      <c r="F200" s="302">
        <f>IFERROR(B200*D200*E200,"")</f>
        <v/>
      </c>
      <c r="G200" s="244" t="n"/>
      <c r="I200" s="306" t="n"/>
      <c r="J200" s="306" t="n"/>
      <c r="K200" s="306" t="n"/>
      <c r="L200" s="306" t="n"/>
      <c r="M200" s="306" t="n"/>
      <c r="N200" s="307" t="n"/>
      <c r="O200" s="306" t="n"/>
      <c r="P200" s="306" t="n"/>
      <c r="Q200" s="306" t="n"/>
      <c r="R200" s="306" t="n"/>
      <c r="S200" s="306" t="n"/>
    </row>
    <row r="201" hidden="1">
      <c r="A201" s="244">
        <f>IF(J201="","",_xlfn.CONCAT("Kous "&amp;I201&amp;" DN"&amp;P201&amp;" - "&amp;O201&amp;"mm - "&amp;N201&amp;"m - ("&amp;J201&amp;")"))</f>
        <v/>
      </c>
      <c r="B201" s="305">
        <f>IFERROR(IF($K201="UV",IF($S201="S+ liner",($N201*(INDEX(Prijzen!$C$15:$P$70,MATCH($P201,Prijzen!$B$15:$B$70,0),MATCH($O201,Prijzen!$C$14:$O$14,0)))*0.58),IF($S201="M liner",($N201*(INDEX(Prijzen!$C$2:$P$11,MATCH($P201,Prijzen!$B$2:$B$11,0),MATCH($O201,Prijzen!$C$1:$P$1,0))))*0.58,0)),$N201*INDEX(Prijzen!$C$73:$P$94,MATCH($P201,Prijzen!$B$73:$B$94,0),MATCH($O201,Prijzen!$C$72:$P$72,0))),"")</f>
        <v/>
      </c>
      <c r="C201" s="260" t="inlineStr">
        <is>
          <t>EUR</t>
        </is>
      </c>
      <c r="D201" s="270" t="n">
        <v>1</v>
      </c>
      <c r="E201" s="305" t="n">
        <v>1</v>
      </c>
      <c r="F201" s="302">
        <f>IFERROR(B201*D201*E201,"")</f>
        <v/>
      </c>
      <c r="G201" s="244" t="n"/>
      <c r="I201" s="306" t="n"/>
      <c r="J201" s="306" t="n"/>
      <c r="K201" s="306" t="n"/>
      <c r="L201" s="306" t="n"/>
      <c r="M201" s="306" t="n"/>
      <c r="N201" s="307" t="n"/>
      <c r="O201" s="306" t="n"/>
      <c r="P201" s="306" t="n"/>
      <c r="Q201" s="306" t="n"/>
      <c r="R201" s="306" t="n"/>
      <c r="S201" s="306" t="n"/>
    </row>
    <row r="202" hidden="1">
      <c r="A202" s="244">
        <f>IF(J202="","",_xlfn.CONCAT("Kous "&amp;I202&amp;" DN"&amp;P202&amp;" - "&amp;O202&amp;"mm - "&amp;N202&amp;"m - ("&amp;J202&amp;")"))</f>
        <v/>
      </c>
      <c r="B202" s="305">
        <f>IFERROR(IF($K202="UV",IF($S202="S+ liner",($N202*(INDEX(Prijzen!$C$15:$P$70,MATCH($P202,Prijzen!$B$15:$B$70,0),MATCH($O202,Prijzen!$C$14:$O$14,0)))*0.58),IF($S202="M liner",($N202*(INDEX(Prijzen!$C$2:$P$11,MATCH($P202,Prijzen!$B$2:$B$11,0),MATCH($O202,Prijzen!$C$1:$P$1,0))))*0.58,0)),$N202*INDEX(Prijzen!$C$73:$P$94,MATCH($P202,Prijzen!$B$73:$B$94,0),MATCH($O202,Prijzen!$C$72:$P$72,0))),"")</f>
        <v/>
      </c>
      <c r="C202" s="260" t="inlineStr">
        <is>
          <t>EUR</t>
        </is>
      </c>
      <c r="D202" s="270" t="n">
        <v>1</v>
      </c>
      <c r="E202" s="305" t="n">
        <v>1</v>
      </c>
      <c r="F202" s="302">
        <f>IFERROR(B202*D202*E202,"")</f>
        <v/>
      </c>
      <c r="G202" s="244" t="n"/>
      <c r="I202" s="306" t="n"/>
      <c r="J202" s="306" t="n"/>
      <c r="K202" s="306" t="n"/>
      <c r="L202" s="306" t="n"/>
      <c r="M202" s="306" t="n"/>
      <c r="N202" s="307" t="n"/>
      <c r="O202" s="306" t="n"/>
      <c r="P202" s="306" t="n"/>
      <c r="Q202" s="306" t="n"/>
      <c r="R202" s="306" t="n"/>
      <c r="S202" s="306" t="n"/>
    </row>
    <row r="203" hidden="1">
      <c r="A203" s="244">
        <f>IF(J203="","",_xlfn.CONCAT("Kous "&amp;I203&amp;" DN"&amp;P203&amp;" - "&amp;O203&amp;"mm - "&amp;N203&amp;"m - ("&amp;J203&amp;")"))</f>
        <v/>
      </c>
      <c r="B203" s="305">
        <f>IFERROR(IF($K203="UV",IF($S203="S+ liner",($N203*(INDEX(Prijzen!$C$15:$P$70,MATCH($P203,Prijzen!$B$15:$B$70,0),MATCH($O203,Prijzen!$C$14:$O$14,0)))*0.58),IF($S203="M liner",($N203*(INDEX(Prijzen!$C$2:$P$11,MATCH($P203,Prijzen!$B$2:$B$11,0),MATCH($O203,Prijzen!$C$1:$P$1,0))))*0.58,0)),$N203*INDEX(Prijzen!$C$73:$P$94,MATCH($P203,Prijzen!$B$73:$B$94,0),MATCH($O203,Prijzen!$C$72:$P$72,0))),"")</f>
        <v/>
      </c>
      <c r="C203" s="260" t="inlineStr">
        <is>
          <t>EUR</t>
        </is>
      </c>
      <c r="D203" s="270" t="n">
        <v>1</v>
      </c>
      <c r="E203" s="305" t="n">
        <v>1</v>
      </c>
      <c r="F203" s="302">
        <f>IFERROR(B203*D203*E203,"")</f>
        <v/>
      </c>
      <c r="G203" s="244" t="n"/>
      <c r="I203" s="306" t="n"/>
      <c r="J203" s="306" t="n"/>
      <c r="K203" s="306" t="n"/>
      <c r="L203" s="306" t="n"/>
      <c r="M203" s="306" t="n"/>
      <c r="N203" s="307" t="n"/>
      <c r="O203" s="306" t="n"/>
      <c r="P203" s="306" t="n"/>
      <c r="Q203" s="306" t="n"/>
      <c r="R203" s="306" t="n"/>
      <c r="S203" s="306" t="n"/>
    </row>
    <row r="204" hidden="1">
      <c r="A204" s="244">
        <f>IF(J204="","",_xlfn.CONCAT("Kous "&amp;I204&amp;" DN"&amp;P204&amp;" - "&amp;O204&amp;"mm - "&amp;N204&amp;"m - ("&amp;J204&amp;")"))</f>
        <v/>
      </c>
      <c r="B204" s="305">
        <f>IFERROR(IF($K204="UV",IF($S204="S+ liner",($N204*(INDEX(Prijzen!$C$15:$P$70,MATCH($P204,Prijzen!$B$15:$B$70,0),MATCH($O204,Prijzen!$C$14:$O$14,0)))*0.58),IF($S204="M liner",($N204*(INDEX(Prijzen!$C$2:$P$11,MATCH($P204,Prijzen!$B$2:$B$11,0),MATCH($O204,Prijzen!$C$1:$P$1,0))))*0.58,0)),$N204*INDEX(Prijzen!$C$73:$P$94,MATCH($P204,Prijzen!$B$73:$B$94,0),MATCH($O204,Prijzen!$C$72:$P$72,0))),"")</f>
        <v/>
      </c>
      <c r="C204" s="260" t="inlineStr">
        <is>
          <t>EUR</t>
        </is>
      </c>
      <c r="D204" s="270" t="n">
        <v>1</v>
      </c>
      <c r="E204" s="305" t="n">
        <v>1</v>
      </c>
      <c r="F204" s="302">
        <f>IFERROR(B204*D204*E204,"")</f>
        <v/>
      </c>
      <c r="G204" s="244" t="n"/>
      <c r="I204" s="306" t="n"/>
      <c r="J204" s="306" t="n"/>
      <c r="K204" s="306" t="n"/>
      <c r="L204" s="306" t="n"/>
      <c r="M204" s="306" t="n"/>
      <c r="N204" s="307" t="n"/>
      <c r="O204" s="306" t="n"/>
      <c r="P204" s="306" t="n"/>
      <c r="Q204" s="306" t="n"/>
      <c r="R204" s="306" t="n"/>
      <c r="S204" s="306" t="n"/>
    </row>
    <row r="205">
      <c r="A205" s="244" t="n"/>
      <c r="B205" s="244" t="n"/>
      <c r="C205" s="260" t="n"/>
      <c r="D205" s="261" t="n"/>
      <c r="E205" s="244" t="n"/>
      <c r="F205" s="300" t="n"/>
      <c r="G205" s="244" t="n"/>
    </row>
    <row r="206">
      <c r="A206" s="265" t="inlineStr">
        <is>
          <t>Overig</t>
        </is>
      </c>
      <c r="B206" s="257" t="n"/>
      <c r="C206" s="266" t="n"/>
      <c r="D206" s="267" t="n"/>
      <c r="E206" s="257" t="n"/>
      <c r="F206" s="268" t="n"/>
      <c r="G206" s="257" t="n"/>
    </row>
    <row r="207">
      <c r="A207" s="244" t="inlineStr">
        <is>
          <t>Verkeersregelaars</t>
        </is>
      </c>
      <c r="B207" s="244" t="n"/>
      <c r="C207" s="260" t="inlineStr">
        <is>
          <t>uur</t>
        </is>
      </c>
      <c r="D207" s="271" t="n">
        <v>42</v>
      </c>
      <c r="E207" s="269" t="n">
        <v>1</v>
      </c>
      <c r="F207" s="302">
        <f>B207*D207*E207</f>
        <v/>
      </c>
      <c r="G207" s="244" t="n"/>
    </row>
    <row r="208">
      <c r="A208" s="244" t="inlineStr">
        <is>
          <t>Verkeersmaatregelen</t>
        </is>
      </c>
      <c r="B208" s="244" t="n"/>
      <c r="C208" s="260" t="inlineStr">
        <is>
          <t>EUR</t>
        </is>
      </c>
      <c r="D208" s="271" t="n">
        <v>1</v>
      </c>
      <c r="E208" s="269" t="n">
        <v>1</v>
      </c>
      <c r="F208" s="302">
        <f>B208*D208*E208</f>
        <v/>
      </c>
      <c r="G208" s="244" t="n"/>
    </row>
    <row r="209">
      <c r="A209" s="244" t="inlineStr">
        <is>
          <t>Verkeersplannen</t>
        </is>
      </c>
      <c r="B209" s="244" t="n"/>
      <c r="C209" s="260" t="inlineStr">
        <is>
          <t>EUR</t>
        </is>
      </c>
      <c r="D209" s="271" t="n">
        <v>1</v>
      </c>
      <c r="E209" s="269" t="n">
        <v>1</v>
      </c>
      <c r="F209" s="302">
        <f>B209*D209*E209</f>
        <v/>
      </c>
      <c r="G209" s="244" t="n"/>
    </row>
    <row r="210">
      <c r="A210" s="244" t="inlineStr">
        <is>
          <t>Civiele werkzaamheden</t>
        </is>
      </c>
      <c r="B210" s="244" t="n"/>
      <c r="C210" s="260" t="inlineStr">
        <is>
          <t>EUR</t>
        </is>
      </c>
      <c r="D210" s="271" t="n">
        <v>1</v>
      </c>
      <c r="E210" s="269" t="n">
        <v>1</v>
      </c>
      <c r="F210" s="302">
        <f>B210*D210*E210</f>
        <v/>
      </c>
      <c r="G210" s="244" t="n"/>
    </row>
    <row r="211">
      <c r="A211" s="244" t="inlineStr">
        <is>
          <t>Putrenovatie</t>
        </is>
      </c>
      <c r="B211" s="244" t="n"/>
      <c r="C211" s="260" t="inlineStr">
        <is>
          <t>EUR</t>
        </is>
      </c>
      <c r="D211" s="271" t="n">
        <v>1</v>
      </c>
      <c r="E211" s="269" t="n">
        <v>1</v>
      </c>
      <c r="F211" s="302">
        <f>B211*D211*E211</f>
        <v/>
      </c>
      <c r="G211" s="244" t="n"/>
    </row>
    <row r="212">
      <c r="A212" s="244" t="inlineStr">
        <is>
          <t>Pompen</t>
        </is>
      </c>
      <c r="B212" s="244" t="n"/>
      <c r="C212" s="260" t="inlineStr">
        <is>
          <t>EUR</t>
        </is>
      </c>
      <c r="D212" s="271" t="n">
        <v>1</v>
      </c>
      <c r="E212" s="269" t="n">
        <v>1</v>
      </c>
      <c r="F212" s="302">
        <f>B212*D212*E212</f>
        <v/>
      </c>
      <c r="G212" s="244" t="n"/>
    </row>
    <row r="213">
      <c r="A213" s="244" t="n"/>
      <c r="B213" s="244" t="n"/>
      <c r="C213" s="260" t="n"/>
      <c r="D213" s="261" t="n"/>
      <c r="E213" s="244" t="n"/>
      <c r="F213" s="300" t="n"/>
      <c r="G213" s="244" t="n"/>
    </row>
    <row r="214">
      <c r="A214" s="265" t="inlineStr">
        <is>
          <t xml:space="preserve">Uitvoering </t>
        </is>
      </c>
      <c r="B214" s="257" t="n"/>
      <c r="C214" s="266" t="n"/>
      <c r="D214" s="267" t="n"/>
      <c r="E214" s="257" t="n"/>
      <c r="F214" s="268" t="n"/>
      <c r="G214" s="257" t="n"/>
    </row>
    <row r="215">
      <c r="A215" s="244" t="inlineStr">
        <is>
          <t>Uitvoerder</t>
        </is>
      </c>
      <c r="B215" s="244" t="n"/>
      <c r="C215" s="260" t="inlineStr">
        <is>
          <t>uur</t>
        </is>
      </c>
      <c r="D215" s="301">
        <f>'Tarieven 2026'!$F$37</f>
        <v/>
      </c>
      <c r="E215" s="269" t="n">
        <v>1</v>
      </c>
      <c r="F215" s="302">
        <f>B215*D215*E215</f>
        <v/>
      </c>
      <c r="G215" s="303" t="inlineStr">
        <is>
          <t>Uitvoerder uurtarief — Tarieven 2026</t>
        </is>
      </c>
    </row>
    <row r="216">
      <c r="A216" s="244" t="inlineStr">
        <is>
          <t>Projectcoördinator</t>
        </is>
      </c>
      <c r="B216" s="244" t="n"/>
      <c r="C216" s="260" t="inlineStr">
        <is>
          <t>uur</t>
        </is>
      </c>
      <c r="D216" s="301">
        <f>'Tarieven 2026'!$F$36</f>
        <v/>
      </c>
      <c r="E216" s="269" t="n">
        <v>1</v>
      </c>
      <c r="F216" s="302">
        <f>B216*D216*E216</f>
        <v/>
      </c>
      <c r="G216" s="303" t="inlineStr">
        <is>
          <t>Werkvoorbereider uurtarief — Tarieven 2026</t>
        </is>
      </c>
    </row>
    <row r="217">
      <c r="A217" s="244" t="inlineStr">
        <is>
          <t>Projectleider</t>
        </is>
      </c>
      <c r="B217" s="244" t="n"/>
      <c r="C217" s="260" t="inlineStr">
        <is>
          <t>uur</t>
        </is>
      </c>
      <c r="D217" s="301">
        <f>'Tarieven 2026'!$F$38</f>
        <v/>
      </c>
      <c r="E217" s="269" t="n">
        <v>1</v>
      </c>
      <c r="F217" s="302">
        <f>B217*D217*E217</f>
        <v/>
      </c>
      <c r="G217" s="303" t="inlineStr">
        <is>
          <t>Projectleider uurtarief — Tarieven 2026</t>
        </is>
      </c>
    </row>
    <row r="218">
      <c r="A218" s="244" t="n"/>
      <c r="B218" s="244" t="n"/>
      <c r="C218" s="260" t="n"/>
      <c r="D218" s="261" t="n"/>
      <c r="E218" s="244" t="n"/>
      <c r="F218" s="300" t="n"/>
      <c r="G218" s="244" t="n"/>
    </row>
    <row r="219">
      <c r="A219" s="244" t="n"/>
      <c r="B219" s="244" t="n"/>
      <c r="C219" s="260" t="n"/>
      <c r="D219" s="261" t="n"/>
      <c r="E219" s="244" t="n"/>
      <c r="F219" s="300" t="n"/>
      <c r="G219" s="244" t="n"/>
    </row>
    <row r="220" customFormat="1" s="18">
      <c r="A220" s="273" t="inlineStr">
        <is>
          <t>subtotaal</t>
        </is>
      </c>
      <c r="B220" s="289" t="n"/>
      <c r="C220" s="290" t="n"/>
      <c r="D220" s="291" t="n"/>
      <c r="E220" s="289" t="n"/>
      <c r="F220" s="292">
        <f>SUM(F56:F219)</f>
        <v/>
      </c>
      <c r="G220" s="293" t="n"/>
      <c r="U220" s="20" t="n"/>
    </row>
    <row r="221" customFormat="1" s="18">
      <c r="A221" s="244" t="n"/>
      <c r="B221" s="282" t="n"/>
      <c r="C221" s="283" t="n"/>
      <c r="D221" s="284" t="n"/>
      <c r="E221" s="282" t="n"/>
      <c r="F221" s="295" t="n"/>
      <c r="G221" s="296" t="n"/>
      <c r="U221" s="20" t="n"/>
    </row>
    <row r="222" customFormat="1" s="18">
      <c r="A222" s="288" t="inlineStr">
        <is>
          <t>Algemenkosten 10%</t>
        </is>
      </c>
      <c r="B222" s="289" t="n">
        <v>10</v>
      </c>
      <c r="C222" s="290" t="inlineStr">
        <is>
          <t>%</t>
        </is>
      </c>
      <c r="D222" s="291" t="n"/>
      <c r="E222" s="289" t="n"/>
      <c r="F222" s="292">
        <f>SUM(F220:F221)*B222%</f>
        <v/>
      </c>
      <c r="G222" s="293" t="n"/>
      <c r="U222" s="20" t="n"/>
    </row>
    <row r="223" customFormat="1" s="18">
      <c r="A223" s="294" t="n"/>
      <c r="B223" s="282" t="n"/>
      <c r="C223" s="283" t="n"/>
      <c r="D223" s="284" t="n"/>
      <c r="E223" s="282" t="n"/>
      <c r="F223" s="295" t="n"/>
      <c r="G223" s="296" t="n"/>
      <c r="U223" s="20" t="n"/>
    </row>
    <row r="224" ht="15" customHeight="1">
      <c r="A224" s="273" t="inlineStr">
        <is>
          <t>Totaal prognose kosten nog uit te voeren</t>
        </is>
      </c>
      <c r="B224" s="289" t="n"/>
      <c r="C224" s="290" t="n"/>
      <c r="D224" s="291" t="n"/>
      <c r="E224" s="289" t="n"/>
      <c r="F224" s="309">
        <f>SUM(F220:F222)</f>
        <v/>
      </c>
      <c r="G224" s="273" t="n"/>
    </row>
    <row r="225">
      <c r="A225" s="244" t="n"/>
      <c r="B225" s="244" t="n"/>
      <c r="C225" s="244" t="n"/>
      <c r="D225" s="244" t="n"/>
      <c r="E225" s="244" t="n"/>
      <c r="F225" s="244" t="n"/>
      <c r="G225" s="244" t="n"/>
    </row>
    <row r="226" customFormat="1" s="34">
      <c r="A226" s="265" t="inlineStr">
        <is>
          <t>Prosnose kosten einde werk</t>
        </is>
      </c>
      <c r="B226" s="254" t="n"/>
      <c r="C226" s="255" t="n"/>
      <c r="D226" s="256" t="n"/>
      <c r="E226" s="254" t="n"/>
      <c r="F226" s="268" t="n"/>
      <c r="G226" s="257" t="n"/>
      <c r="U226" s="31" t="n"/>
    </row>
    <row r="227" ht="15" customFormat="1" customHeight="1" s="18">
      <c r="A227" s="273" t="inlineStr">
        <is>
          <t>Totaal prognose kosten einde werk</t>
        </is>
      </c>
      <c r="B227" s="289" t="n"/>
      <c r="C227" s="290" t="n"/>
      <c r="D227" s="291" t="n"/>
      <c r="E227" s="289" t="n"/>
      <c r="F227" s="309">
        <f>+F40+F51+F224</f>
        <v/>
      </c>
      <c r="G227" s="273" t="n"/>
      <c r="U227" s="20" t="n"/>
    </row>
    <row r="228" customFormat="1" s="18">
      <c r="A228" s="244" t="n"/>
      <c r="B228" s="282" t="n"/>
      <c r="C228" s="283" t="n"/>
      <c r="D228" s="284" t="n"/>
      <c r="E228" s="282" t="n"/>
      <c r="F228" s="285" t="n"/>
      <c r="G228" s="244" t="n"/>
      <c r="U228" s="20" t="n"/>
    </row>
    <row r="229" customFormat="1" s="3">
      <c r="A229" s="265" t="inlineStr">
        <is>
          <t>Resultaat</t>
        </is>
      </c>
      <c r="B229" s="254" t="n"/>
      <c r="C229" s="255" t="n"/>
      <c r="D229" s="256" t="n"/>
      <c r="E229" s="254" t="n"/>
      <c r="F229" s="255" t="n"/>
      <c r="G229" s="257" t="n"/>
      <c r="U229" s="10" t="n"/>
    </row>
    <row r="230">
      <c r="A230" s="244" t="n"/>
      <c r="B230" s="244" t="n"/>
      <c r="C230" s="244" t="n"/>
      <c r="D230" s="244" t="n"/>
      <c r="E230" s="244" t="n"/>
      <c r="F230" s="260" t="n"/>
      <c r="G230" s="244" t="n"/>
    </row>
    <row r="231" customFormat="1" s="34">
      <c r="A231" s="265" t="inlineStr">
        <is>
          <t>Prognose resultaat  einde werk</t>
        </is>
      </c>
      <c r="B231" s="254" t="n"/>
      <c r="C231" s="255" t="n"/>
      <c r="D231" s="256" t="n"/>
      <c r="E231" s="254" t="n"/>
      <c r="F231" s="268" t="n"/>
      <c r="G231" s="257" t="n"/>
      <c r="U231" s="31" t="n"/>
    </row>
    <row r="232">
      <c r="A232" s="310" t="inlineStr">
        <is>
          <t>Opbrengsen</t>
        </is>
      </c>
      <c r="B232" s="311" t="n"/>
      <c r="C232" s="312" t="n"/>
      <c r="D232" s="313" t="n"/>
      <c r="E232" s="311" t="n"/>
      <c r="F232" s="314">
        <f>+F24</f>
        <v/>
      </c>
      <c r="G232" s="310" t="n"/>
    </row>
    <row r="233">
      <c r="A233" s="310" t="inlineStr">
        <is>
          <t>Kosten</t>
        </is>
      </c>
      <c r="B233" s="311" t="n"/>
      <c r="C233" s="312" t="n"/>
      <c r="D233" s="313" t="n"/>
      <c r="E233" s="311" t="n"/>
      <c r="F233" s="314">
        <f>+F227</f>
        <v/>
      </c>
      <c r="G233" s="310" t="n"/>
    </row>
    <row r="234">
      <c r="A234" s="244" t="n"/>
      <c r="B234" s="244" t="n"/>
      <c r="C234" s="244" t="n"/>
      <c r="D234" s="244" t="n"/>
      <c r="E234" s="244" t="n"/>
      <c r="F234" s="244" t="n"/>
      <c r="G234" s="244" t="n"/>
    </row>
    <row r="235" ht="15" customHeight="1">
      <c r="A235" s="310" t="inlineStr">
        <is>
          <t>Resultaat</t>
        </is>
      </c>
      <c r="B235" s="311" t="n"/>
      <c r="C235" s="312" t="n"/>
      <c r="D235" s="313" t="n"/>
      <c r="E235" s="311" t="n"/>
      <c r="F235" s="314">
        <f>F232-F233</f>
        <v/>
      </c>
      <c r="G235" s="310" t="n"/>
    </row>
  </sheetData>
  <conditionalFormatting sqref="F235">
    <cfRule type="cellIs" priority="2" operator="lessThan" dxfId="2">
      <formula>-0.01</formula>
    </cfRule>
    <cfRule type="cellIs" priority="3" operator="greaterThan" dxfId="1">
      <formula>0.01</formula>
    </cfRule>
  </conditionalFormatting>
  <conditionalFormatting sqref="U97:U198">
    <cfRule type="expression" priority="1" dxfId="0">
      <formula>U97&lt;NOW()</formula>
    </cfRule>
  </conditionalFormatting>
  <dataValidations count="2">
    <dataValidation sqref="K97:K204" showDropDown="0" showInputMessage="0" showErrorMessage="0" allowBlank="1" type="list">
      <formula1>"UV,JK"</formula1>
    </dataValidation>
    <dataValidation sqref="S97:S204" showDropDown="0" showInputMessage="0" showErrorMessage="0" allowBlank="1" type="list">
      <formula1>"S+ liner,M liner"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ColWidth="9.140625" defaultRowHeight="12.75"/>
  <cols>
    <col width="40" customWidth="1" min="1" max="1"/>
    <col width="12" customWidth="1" style="252" min="2" max="2"/>
    <col width="9" customWidth="1" style="12" min="3" max="3"/>
    <col width="15" customWidth="1" style="7" min="4" max="4"/>
    <col width="8" customWidth="1" style="252" min="5" max="5"/>
    <col width="16" customWidth="1" style="12" min="6" max="6"/>
    <col width="30" bestFit="1" customWidth="1" min="7" max="8"/>
    <col width="3" customWidth="1" min="8" max="8"/>
    <col outlineLevel="1" width="8" customWidth="1" min="9" max="9"/>
    <col outlineLevel="1" width="22" customWidth="1" min="10" max="10"/>
    <col outlineLevel="1" width="8" customWidth="1" min="11" max="11"/>
    <col outlineLevel="1" width="8" customWidth="1" min="12" max="12"/>
    <col outlineLevel="1" width="8" customWidth="1" min="13" max="13"/>
    <col outlineLevel="1" width="9" customWidth="1" min="14" max="14"/>
    <col outlineLevel="1" width="7" customWidth="1" min="15" max="17"/>
    <col width="7" customWidth="1" min="16" max="16"/>
    <col width="7" customWidth="1" min="17" max="17"/>
    <col outlineLevel="1" width="9" customWidth="1" min="18" max="18"/>
    <col hidden="1" outlineLevel="1" width="12" customWidth="1" min="19" max="20"/>
    <col width="9" customWidth="1" min="20" max="20"/>
    <col outlineLevel="1" width="13" customWidth="1" style="12" min="21" max="21"/>
    <col hidden="1" outlineLevel="1" width="9.140625" customWidth="1" min="22" max="28"/>
    <col hidden="1" outlineLevel="1" width="9.85546875" customWidth="1" min="29" max="29"/>
    <col outlineLevel="1" width="11.42578125" customWidth="1" min="30" max="30"/>
  </cols>
  <sheetData>
    <row r="1" customFormat="1" s="3">
      <c r="A1" s="253" t="inlineStr">
        <is>
          <t>PERIODE-SJABLOON — kopieer dit blad per periode en hernoem (bv. 'Periode 2024-02')</t>
        </is>
      </c>
      <c r="B1" s="254" t="n"/>
      <c r="C1" s="255" t="n"/>
      <c r="D1" s="256" t="n"/>
      <c r="E1" s="254" t="n"/>
      <c r="F1" s="255" t="n"/>
      <c r="G1" s="257" t="n"/>
      <c r="U1" s="10" t="n"/>
    </row>
    <row r="2">
      <c r="A2" s="244" t="inlineStr">
        <is>
          <t>Projectnummer</t>
        </is>
      </c>
      <c r="B2" s="258" t="n"/>
      <c r="C2" s="244" t="n"/>
      <c r="D2" s="244" t="n"/>
      <c r="E2" s="259" t="n"/>
      <c r="F2" s="244" t="n"/>
      <c r="G2" s="244" t="n"/>
    </row>
    <row r="3">
      <c r="A3" s="244" t="inlineStr">
        <is>
          <t>Project</t>
        </is>
      </c>
      <c r="B3" s="258" t="n"/>
      <c r="C3" s="244" t="n"/>
      <c r="D3" s="244" t="n"/>
      <c r="E3" s="259" t="n"/>
      <c r="F3" s="244" t="n"/>
      <c r="G3" s="244" t="n"/>
    </row>
    <row r="4">
      <c r="A4" s="244" t="inlineStr">
        <is>
          <t>Opdrachtgever</t>
        </is>
      </c>
      <c r="B4" s="258" t="n"/>
      <c r="C4" s="244" t="n"/>
      <c r="D4" s="244" t="n"/>
      <c r="E4" s="259" t="n"/>
      <c r="F4" s="244" t="n"/>
      <c r="G4" s="244" t="n"/>
    </row>
    <row r="5">
      <c r="A5" s="244" t="n"/>
      <c r="B5" s="244" t="n"/>
      <c r="C5" s="260" t="n"/>
      <c r="D5" s="261" t="n"/>
      <c r="E5" s="261" t="n"/>
      <c r="F5" s="244" t="n"/>
      <c r="G5" s="244" t="n"/>
    </row>
    <row r="6">
      <c r="A6" s="262" t="inlineStr">
        <is>
          <t xml:space="preserve">Aanneemsom </t>
        </is>
      </c>
      <c r="B6" s="244" t="n"/>
      <c r="C6" s="260" t="n"/>
      <c r="D6" s="261" t="n"/>
      <c r="E6" s="261" t="n"/>
      <c r="F6" s="244" t="n"/>
      <c r="G6" s="244" t="n"/>
    </row>
    <row r="7">
      <c r="A7" s="244" t="inlineStr">
        <is>
          <t>Aanneemsom (excl. btw)</t>
        </is>
      </c>
      <c r="B7" s="244" t="n"/>
      <c r="C7" s="260" t="n"/>
      <c r="D7" s="261" t="n"/>
      <c r="E7" s="244" t="n"/>
      <c r="F7" s="263" t="n"/>
      <c r="G7" s="244" t="n"/>
    </row>
    <row r="8">
      <c r="A8" s="264" t="n"/>
      <c r="B8" s="244" t="n"/>
      <c r="C8" s="260" t="n"/>
      <c r="D8" s="261" t="n"/>
      <c r="E8" s="244" t="n"/>
      <c r="F8" s="261" t="n"/>
      <c r="G8" s="244" t="n"/>
    </row>
    <row r="9">
      <c r="A9" s="265" t="inlineStr">
        <is>
          <t>Afwijking</t>
        </is>
      </c>
      <c r="B9" s="254" t="inlineStr">
        <is>
          <t>hvh/eenh.</t>
        </is>
      </c>
      <c r="C9" s="266" t="inlineStr">
        <is>
          <t>eenh.</t>
        </is>
      </c>
      <c r="D9" s="267" t="inlineStr">
        <is>
          <t>Prijs per eenh.</t>
        </is>
      </c>
      <c r="E9" s="254" t="inlineStr">
        <is>
          <t>aantal</t>
        </is>
      </c>
      <c r="F9" s="268" t="inlineStr">
        <is>
          <t>Totaal</t>
        </is>
      </c>
      <c r="G9" s="257" t="n"/>
    </row>
    <row r="10">
      <c r="A10" s="244" t="inlineStr">
        <is>
          <t>Meer putten</t>
        </is>
      </c>
      <c r="B10" s="269" t="n">
        <v>1</v>
      </c>
      <c r="C10" s="260" t="inlineStr">
        <is>
          <t>EUR</t>
        </is>
      </c>
      <c r="D10" s="261" t="n"/>
      <c r="E10" s="269" t="n">
        <v>1</v>
      </c>
      <c r="F10" s="270">
        <f>+B10*D10</f>
        <v/>
      </c>
      <c r="G10" s="244" t="n"/>
    </row>
    <row r="11">
      <c r="A11" s="244" t="inlineStr">
        <is>
          <t>Meer grondwerk</t>
        </is>
      </c>
      <c r="B11" s="269" t="n">
        <v>1</v>
      </c>
      <c r="C11" s="260" t="inlineStr">
        <is>
          <t>EUR</t>
        </is>
      </c>
      <c r="D11" s="271" t="n">
        <v>0</v>
      </c>
      <c r="E11" s="269" t="n">
        <v>1</v>
      </c>
      <c r="F11" s="270">
        <f>+B11*D11</f>
        <v/>
      </c>
      <c r="G11" s="244" t="n"/>
    </row>
    <row r="12">
      <c r="A12" s="244" t="inlineStr">
        <is>
          <t>Meer verkeersmaatregelen</t>
        </is>
      </c>
      <c r="B12" s="269" t="n">
        <v>1</v>
      </c>
      <c r="C12" s="260" t="inlineStr">
        <is>
          <t>EUR</t>
        </is>
      </c>
      <c r="D12" s="271" t="n">
        <v>0</v>
      </c>
      <c r="E12" s="269" t="n">
        <v>1</v>
      </c>
      <c r="F12" s="270">
        <f>+B12*D12</f>
        <v/>
      </c>
      <c r="G12" s="272" t="n"/>
    </row>
    <row r="13">
      <c r="A13" s="244" t="n"/>
      <c r="B13" s="269" t="n">
        <v>1</v>
      </c>
      <c r="C13" s="260" t="inlineStr">
        <is>
          <t>EUR</t>
        </is>
      </c>
      <c r="D13" s="271" t="n">
        <v>0</v>
      </c>
      <c r="E13" s="269" t="n">
        <v>1</v>
      </c>
      <c r="F13" s="270">
        <f>+B13*D13</f>
        <v/>
      </c>
      <c r="G13" s="244" t="n"/>
    </row>
    <row r="14">
      <c r="A14" s="244" t="n"/>
      <c r="B14" s="269" t="n">
        <v>1</v>
      </c>
      <c r="C14" s="260" t="inlineStr">
        <is>
          <t>EUR</t>
        </is>
      </c>
      <c r="D14" s="271" t="n">
        <v>0</v>
      </c>
      <c r="E14" s="269" t="n">
        <v>1</v>
      </c>
      <c r="F14" s="270">
        <f>+B14*D14</f>
        <v/>
      </c>
      <c r="G14" s="244" t="n"/>
    </row>
    <row r="15">
      <c r="A15" s="244" t="n"/>
      <c r="B15" s="269" t="n">
        <v>1</v>
      </c>
      <c r="C15" s="260" t="inlineStr">
        <is>
          <t>EUR</t>
        </is>
      </c>
      <c r="D15" s="271" t="n">
        <v>0</v>
      </c>
      <c r="E15" s="269" t="n">
        <v>1</v>
      </c>
      <c r="F15" s="270">
        <f>+B15*D15</f>
        <v/>
      </c>
      <c r="G15" s="244" t="n"/>
    </row>
    <row r="16">
      <c r="A16" s="244" t="n"/>
      <c r="B16" s="269" t="n">
        <v>1</v>
      </c>
      <c r="C16" s="260" t="inlineStr">
        <is>
          <t>EUR</t>
        </is>
      </c>
      <c r="D16" s="271" t="n">
        <v>0</v>
      </c>
      <c r="E16" s="269" t="n">
        <v>1</v>
      </c>
      <c r="F16" s="270">
        <f>+B16*D16</f>
        <v/>
      </c>
      <c r="G16" s="272" t="n"/>
    </row>
    <row r="17">
      <c r="A17" s="244" t="n"/>
      <c r="B17" s="269" t="n">
        <v>1</v>
      </c>
      <c r="C17" s="260" t="inlineStr">
        <is>
          <t>EUR</t>
        </is>
      </c>
      <c r="D17" s="271" t="n">
        <v>0</v>
      </c>
      <c r="E17" s="269" t="n">
        <v>1</v>
      </c>
      <c r="F17" s="270">
        <f>+B17*D17</f>
        <v/>
      </c>
      <c r="G17" s="244" t="n"/>
    </row>
    <row r="18">
      <c r="A18" s="244" t="n"/>
      <c r="B18" s="269" t="n">
        <v>1</v>
      </c>
      <c r="C18" s="260" t="inlineStr">
        <is>
          <t>EUR</t>
        </is>
      </c>
      <c r="D18" s="271" t="n">
        <v>0</v>
      </c>
      <c r="E18" s="269" t="n">
        <v>1</v>
      </c>
      <c r="F18" s="270">
        <f>+B18*D18</f>
        <v/>
      </c>
      <c r="G18" s="244" t="n"/>
    </row>
    <row r="19">
      <c r="A19" s="244" t="n"/>
      <c r="B19" s="269" t="n">
        <v>1</v>
      </c>
      <c r="C19" s="260" t="inlineStr">
        <is>
          <t>EUR</t>
        </is>
      </c>
      <c r="D19" s="271" t="n">
        <v>0</v>
      </c>
      <c r="E19" s="269" t="n">
        <v>1</v>
      </c>
      <c r="F19" s="270">
        <f>+B19*D19</f>
        <v/>
      </c>
      <c r="G19" s="244" t="n"/>
    </row>
    <row r="20">
      <c r="A20" s="244" t="n"/>
      <c r="B20" s="269" t="n">
        <v>1</v>
      </c>
      <c r="C20" s="260" t="inlineStr">
        <is>
          <t>EUR</t>
        </is>
      </c>
      <c r="D20" s="271" t="n">
        <v>0</v>
      </c>
      <c r="E20" s="269" t="n">
        <v>1</v>
      </c>
      <c r="F20" s="270">
        <f>+B20*D20</f>
        <v/>
      </c>
      <c r="G20" s="244" t="n"/>
    </row>
    <row r="21">
      <c r="A21" s="244" t="n"/>
      <c r="B21" s="269" t="n">
        <v>1</v>
      </c>
      <c r="C21" s="260" t="inlineStr">
        <is>
          <t>EUR</t>
        </is>
      </c>
      <c r="D21" s="271" t="n">
        <v>0</v>
      </c>
      <c r="E21" s="269" t="n">
        <v>1</v>
      </c>
      <c r="F21" s="270">
        <f>+B21*D21</f>
        <v/>
      </c>
      <c r="G21" s="244" t="n"/>
    </row>
    <row r="22">
      <c r="A22" s="244" t="n"/>
      <c r="B22" s="269" t="n">
        <v>1</v>
      </c>
      <c r="C22" s="260" t="inlineStr">
        <is>
          <t>EUR</t>
        </is>
      </c>
      <c r="D22" s="271" t="n">
        <v>0</v>
      </c>
      <c r="E22" s="269" t="n">
        <v>1</v>
      </c>
      <c r="F22" s="270">
        <f>+B22*D22</f>
        <v/>
      </c>
      <c r="G22" s="244" t="n"/>
    </row>
    <row r="23">
      <c r="A23" s="244" t="n"/>
      <c r="B23" s="244" t="n"/>
      <c r="C23" s="260" t="n"/>
      <c r="D23" s="261" t="n"/>
      <c r="E23" s="244" t="n"/>
      <c r="F23" s="261" t="n"/>
      <c r="G23" s="244" t="n"/>
    </row>
    <row r="24">
      <c r="A24" s="273" t="inlineStr">
        <is>
          <t>Gecorrigeerde aanneemsom</t>
        </is>
      </c>
      <c r="B24" s="273" t="n"/>
      <c r="C24" s="274" t="n"/>
      <c r="D24" s="275" t="n"/>
      <c r="E24" s="273" t="n"/>
      <c r="F24" s="276">
        <f>SUM(F7:F22)</f>
        <v/>
      </c>
      <c r="G24" s="273" t="n"/>
    </row>
    <row r="25">
      <c r="A25" s="244" t="n"/>
      <c r="B25" s="244" t="n"/>
      <c r="C25" s="260" t="n"/>
      <c r="D25" s="261" t="n"/>
      <c r="E25" s="244" t="n"/>
      <c r="F25" s="261" t="n"/>
      <c r="G25" s="244" t="n"/>
    </row>
    <row r="26">
      <c r="A26" s="265" t="inlineStr">
        <is>
          <t>Verrekende termijnen</t>
        </is>
      </c>
      <c r="B26" s="257" t="n"/>
      <c r="C26" s="266" t="n"/>
      <c r="D26" s="267" t="n"/>
      <c r="E26" s="257" t="n"/>
      <c r="F26" s="267" t="n"/>
      <c r="G26" s="257" t="n"/>
    </row>
    <row r="27">
      <c r="A27" s="244" t="inlineStr">
        <is>
          <t>Termijn 1</t>
        </is>
      </c>
      <c r="B27" s="269" t="n">
        <v>1</v>
      </c>
      <c r="C27" s="260" t="inlineStr">
        <is>
          <t>EUR</t>
        </is>
      </c>
      <c r="D27" s="271" t="n">
        <v>0</v>
      </c>
      <c r="E27" s="269" t="n">
        <v>1</v>
      </c>
      <c r="F27" s="270">
        <f>+B27*D27</f>
        <v/>
      </c>
      <c r="G27" s="244" t="n"/>
    </row>
    <row r="28">
      <c r="A28" s="244" t="inlineStr">
        <is>
          <t>Termijn 2</t>
        </is>
      </c>
      <c r="B28" s="269" t="n">
        <v>1</v>
      </c>
      <c r="C28" s="260" t="inlineStr">
        <is>
          <t>EUR</t>
        </is>
      </c>
      <c r="D28" s="271" t="n">
        <v>0</v>
      </c>
      <c r="E28" s="269" t="n">
        <v>1</v>
      </c>
      <c r="F28" s="270">
        <f>+B28*D28</f>
        <v/>
      </c>
      <c r="G28" s="244" t="n"/>
    </row>
    <row r="29">
      <c r="A29" s="244" t="inlineStr">
        <is>
          <t>Termijn 3</t>
        </is>
      </c>
      <c r="B29" s="269" t="n">
        <v>1</v>
      </c>
      <c r="C29" s="260" t="inlineStr">
        <is>
          <t>EUR</t>
        </is>
      </c>
      <c r="D29" s="271" t="n">
        <v>0</v>
      </c>
      <c r="E29" s="269" t="n">
        <v>1</v>
      </c>
      <c r="F29" s="270">
        <f>+B29*D29</f>
        <v/>
      </c>
      <c r="G29" s="244" t="n"/>
    </row>
    <row r="30">
      <c r="A30" s="244" t="inlineStr">
        <is>
          <t>Termijn 4</t>
        </is>
      </c>
      <c r="B30" s="269" t="n">
        <v>1</v>
      </c>
      <c r="C30" s="260" t="inlineStr">
        <is>
          <t>EUR</t>
        </is>
      </c>
      <c r="D30" s="271" t="n">
        <v>0</v>
      </c>
      <c r="E30" s="269" t="n">
        <v>1</v>
      </c>
      <c r="F30" s="270">
        <f>+B30*D30</f>
        <v/>
      </c>
      <c r="G30" s="244" t="n"/>
    </row>
    <row r="31">
      <c r="A31" s="244" t="inlineStr">
        <is>
          <t>Termijn 5</t>
        </is>
      </c>
      <c r="B31" s="269" t="n">
        <v>1</v>
      </c>
      <c r="C31" s="260" t="inlineStr">
        <is>
          <t>EUR</t>
        </is>
      </c>
      <c r="D31" s="271" t="n">
        <v>0</v>
      </c>
      <c r="E31" s="269" t="n">
        <v>1</v>
      </c>
      <c r="F31" s="270">
        <f>+B31*D31</f>
        <v/>
      </c>
      <c r="G31" s="244" t="n"/>
    </row>
    <row r="32">
      <c r="A32" s="244" t="n"/>
      <c r="B32" s="244" t="n"/>
      <c r="C32" s="260" t="n"/>
      <c r="D32" s="261" t="n"/>
      <c r="E32" s="244" t="n"/>
      <c r="F32" s="261" t="n"/>
      <c r="G32" s="244" t="n"/>
    </row>
    <row r="33">
      <c r="A33" s="273" t="inlineStr">
        <is>
          <t>Totaal gefactueerd</t>
        </is>
      </c>
      <c r="B33" s="273" t="n"/>
      <c r="C33" s="274" t="n"/>
      <c r="D33" s="275" t="n"/>
      <c r="E33" s="273" t="n"/>
      <c r="F33" s="276">
        <f>SUM(F27:F31)</f>
        <v/>
      </c>
      <c r="G33" s="273" t="n"/>
    </row>
    <row r="34">
      <c r="A34" s="244" t="n"/>
      <c r="B34" s="244" t="n"/>
      <c r="C34" s="260" t="n"/>
      <c r="D34" s="261" t="n"/>
      <c r="E34" s="244" t="n"/>
      <c r="F34" s="261" t="n"/>
      <c r="G34" s="244" t="n"/>
    </row>
    <row r="35">
      <c r="A35" s="273" t="inlineStr">
        <is>
          <t>Nog te factureren</t>
        </is>
      </c>
      <c r="B35" s="273" t="n"/>
      <c r="C35" s="274" t="n"/>
      <c r="D35" s="275" t="n"/>
      <c r="E35" s="273" t="n"/>
      <c r="F35" s="276">
        <f>F24-F33</f>
        <v/>
      </c>
      <c r="G35" s="273" t="n"/>
    </row>
    <row r="36">
      <c r="A36" s="244" t="n"/>
      <c r="B36" s="244" t="n"/>
      <c r="C36" s="244" t="n"/>
      <c r="D36" s="244" t="n"/>
      <c r="E36" s="244" t="n"/>
      <c r="F36" s="244" t="n"/>
      <c r="G36" s="244" t="n"/>
    </row>
    <row r="37">
      <c r="A37" s="244" t="n"/>
      <c r="B37" s="244" t="n"/>
      <c r="C37" s="244" t="n"/>
      <c r="D37" s="244" t="n"/>
      <c r="E37" s="244" t="n"/>
      <c r="F37" s="244" t="n"/>
      <c r="G37" s="244" t="n"/>
    </row>
    <row r="38" customFormat="1" s="3">
      <c r="A38" s="265" t="inlineStr">
        <is>
          <t>Kosten</t>
        </is>
      </c>
      <c r="B38" s="254" t="n"/>
      <c r="C38" s="255" t="n"/>
      <c r="D38" s="256" t="n"/>
      <c r="E38" s="254" t="n"/>
      <c r="F38" s="255" t="n"/>
      <c r="G38" s="257" t="n"/>
      <c r="U38" s="10" t="n"/>
    </row>
    <row r="39" customFormat="1" s="34">
      <c r="A39" s="265" t="inlineStr">
        <is>
          <t>Geboekte kosten t/m deze periode</t>
        </is>
      </c>
      <c r="B39" s="254" t="n"/>
      <c r="C39" s="255" t="n"/>
      <c r="D39" s="256" t="n"/>
      <c r="E39" s="254" t="n"/>
      <c r="F39" s="268" t="n"/>
      <c r="G39" s="257" t="n"/>
      <c r="U39" s="31" t="n"/>
    </row>
    <row r="40" ht="15" customFormat="1" customHeight="1" s="18">
      <c r="A40" s="277" t="inlineStr">
        <is>
          <t>Geboekte kosten t/m deze periode</t>
        </is>
      </c>
      <c r="B40" s="278" t="n"/>
      <c r="C40" s="279" t="n"/>
      <c r="D40" s="280" t="n"/>
      <c r="E40" s="278" t="n"/>
      <c r="F40" s="281" t="n">
        <v>0</v>
      </c>
      <c r="G40" s="244" t="n"/>
      <c r="U40" s="20" t="n"/>
    </row>
    <row r="41" customFormat="1" s="18">
      <c r="A41" s="244" t="n"/>
      <c r="B41" s="282" t="n"/>
      <c r="C41" s="283" t="n"/>
      <c r="D41" s="284" t="n"/>
      <c r="E41" s="282" t="n"/>
      <c r="F41" s="285" t="n"/>
      <c r="G41" s="244" t="n"/>
      <c r="U41" s="20" t="n"/>
    </row>
    <row r="42" customFormat="1" s="44">
      <c r="A42" s="265" t="inlineStr">
        <is>
          <t>Nog te boeken kosten deze periode</t>
        </is>
      </c>
      <c r="B42" s="254" t="inlineStr">
        <is>
          <t>hvh/eenh.</t>
        </is>
      </c>
      <c r="C42" s="255" t="inlineStr">
        <is>
          <t>eenh.</t>
        </is>
      </c>
      <c r="D42" s="256" t="inlineStr">
        <is>
          <t>Prijs per eenh.</t>
        </is>
      </c>
      <c r="E42" s="254" t="inlineStr">
        <is>
          <t>aantal</t>
        </is>
      </c>
      <c r="F42" s="268" t="inlineStr">
        <is>
          <t>Totaal</t>
        </is>
      </c>
      <c r="G42" s="257" t="n"/>
      <c r="U42" s="42" t="n"/>
    </row>
    <row r="43" customFormat="1" s="18">
      <c r="A43" s="244" t="n"/>
      <c r="B43" s="282" t="n"/>
      <c r="C43" s="283" t="inlineStr">
        <is>
          <t>EUR</t>
        </is>
      </c>
      <c r="D43" s="271" t="n">
        <v>1</v>
      </c>
      <c r="E43" s="286" t="n">
        <v>1</v>
      </c>
      <c r="F43" s="287">
        <f>B43*D43*E43</f>
        <v/>
      </c>
      <c r="G43" s="244" t="n"/>
      <c r="U43" s="20" t="n"/>
    </row>
    <row r="44" customFormat="1" s="18">
      <c r="A44" s="244" t="n"/>
      <c r="B44" s="282" t="n"/>
      <c r="C44" s="283" t="n"/>
      <c r="D44" s="261" t="n"/>
      <c r="E44" s="282" t="n"/>
      <c r="F44" s="285" t="n"/>
      <c r="G44" s="244" t="n"/>
      <c r="U44" s="20" t="n"/>
    </row>
    <row r="45" customFormat="1" s="18">
      <c r="A45" s="244" t="n"/>
      <c r="B45" s="282" t="n"/>
      <c r="C45" s="283" t="n"/>
      <c r="D45" s="261" t="n"/>
      <c r="E45" s="282" t="n"/>
      <c r="F45" s="287" t="n">
        <v>0</v>
      </c>
      <c r="G45" s="244" t="n"/>
      <c r="U45" s="20" t="n"/>
    </row>
    <row r="46" customFormat="1" s="18">
      <c r="A46" s="244" t="n"/>
      <c r="B46" s="282" t="n"/>
      <c r="C46" s="283" t="n"/>
      <c r="D46" s="284" t="n"/>
      <c r="E46" s="282" t="n"/>
      <c r="F46" s="285" t="n"/>
      <c r="G46" s="244" t="n"/>
      <c r="U46" s="20" t="n"/>
    </row>
    <row r="47" customFormat="1" s="18">
      <c r="A47" s="288" t="inlineStr">
        <is>
          <t>subtotaal</t>
        </is>
      </c>
      <c r="B47" s="289" t="n"/>
      <c r="C47" s="290" t="n"/>
      <c r="D47" s="291" t="n"/>
      <c r="E47" s="289" t="n"/>
      <c r="F47" s="292">
        <f>SUM(F43:F45)</f>
        <v/>
      </c>
      <c r="G47" s="293" t="n"/>
      <c r="U47" s="20" t="n"/>
    </row>
    <row r="48" customFormat="1" s="18">
      <c r="A48" s="294" t="n"/>
      <c r="B48" s="282" t="n"/>
      <c r="C48" s="283" t="n"/>
      <c r="D48" s="284" t="n"/>
      <c r="E48" s="282" t="n"/>
      <c r="F48" s="295" t="n"/>
      <c r="G48" s="296" t="n"/>
      <c r="U48" s="20" t="n"/>
    </row>
    <row r="49" customFormat="1" s="18">
      <c r="A49" s="288" t="inlineStr">
        <is>
          <t>Algemenkosten 10%</t>
        </is>
      </c>
      <c r="B49" s="289" t="n">
        <v>10</v>
      </c>
      <c r="C49" s="290" t="inlineStr">
        <is>
          <t>%</t>
        </is>
      </c>
      <c r="D49" s="291" t="n"/>
      <c r="E49" s="289" t="n"/>
      <c r="F49" s="292">
        <f>SUM(F43:F46)*B49%</f>
        <v/>
      </c>
      <c r="G49" s="293" t="n"/>
      <c r="U49" s="20" t="n"/>
    </row>
    <row r="50" customFormat="1" s="18">
      <c r="A50" s="294" t="n"/>
      <c r="B50" s="282" t="n"/>
      <c r="C50" s="283" t="n"/>
      <c r="D50" s="284" t="n"/>
      <c r="E50" s="282" t="n"/>
      <c r="F50" s="295" t="n"/>
      <c r="G50" s="296" t="n"/>
      <c r="U50" s="20" t="n"/>
    </row>
    <row r="51" customFormat="1" s="18">
      <c r="A51" s="288" t="inlineStr">
        <is>
          <t>Totaal nog te boeken kosten t/m deze periode</t>
        </is>
      </c>
      <c r="B51" s="289" t="n"/>
      <c r="C51" s="290" t="n"/>
      <c r="D51" s="291" t="n"/>
      <c r="E51" s="289" t="n"/>
      <c r="F51" s="292">
        <f>SUM(F47:F49)</f>
        <v/>
      </c>
      <c r="G51" s="293" t="n"/>
      <c r="U51" s="20" t="n"/>
    </row>
    <row r="52" ht="15" customFormat="1" customHeight="1" s="18">
      <c r="A52" s="244" t="n"/>
      <c r="B52" s="282" t="n"/>
      <c r="C52" s="283" t="n"/>
      <c r="D52" s="284" t="n"/>
      <c r="E52" s="282" t="n"/>
      <c r="F52" s="297" t="n"/>
      <c r="G52" s="298" t="n"/>
      <c r="H52" s="28" t="n"/>
      <c r="U52" s="20" t="n"/>
    </row>
    <row r="53" customFormat="1" s="44">
      <c r="A53" s="265" t="inlineStr">
        <is>
          <t>Prognose kosten nog uit te voeren/Verwachte kosten</t>
        </is>
      </c>
      <c r="B53" s="254" t="n"/>
      <c r="C53" s="255" t="n"/>
      <c r="D53" s="256" t="n"/>
      <c r="E53" s="254" t="n"/>
      <c r="F53" s="268" t="n"/>
      <c r="G53" s="257" t="n"/>
      <c r="U53" s="42" t="n"/>
    </row>
    <row r="54">
      <c r="A54" s="299" t="inlineStr">
        <is>
          <t>Verwachte kosten — blauwe prijscellen zijn gekoppeld aan 'Tarieven 2026' (schakel Hoog/Laag daar).</t>
        </is>
      </c>
      <c r="B54" s="244" t="n"/>
      <c r="C54" s="260" t="n"/>
      <c r="D54" s="261" t="n"/>
      <c r="E54" s="244" t="n"/>
      <c r="F54" s="300" t="n"/>
      <c r="G54" s="244" t="n"/>
    </row>
    <row r="55">
      <c r="A55" s="265" t="inlineStr">
        <is>
          <t>Verificatie-inspectie</t>
        </is>
      </c>
      <c r="B55" s="254" t="inlineStr">
        <is>
          <t>hvh/eenh.</t>
        </is>
      </c>
      <c r="C55" s="266" t="inlineStr">
        <is>
          <t>eenh.</t>
        </is>
      </c>
      <c r="D55" s="267" t="inlineStr">
        <is>
          <t>Prijs per eenh.</t>
        </is>
      </c>
      <c r="E55" s="254" t="inlineStr">
        <is>
          <t>aantal</t>
        </is>
      </c>
      <c r="F55" s="268" t="inlineStr">
        <is>
          <t>Totaal</t>
        </is>
      </c>
      <c r="G55" s="257" t="n"/>
    </row>
    <row r="56">
      <c r="A56" s="244" t="inlineStr">
        <is>
          <t>Rioolcombi</t>
        </is>
      </c>
      <c r="B56" s="244" t="n"/>
      <c r="C56" s="260" t="inlineStr">
        <is>
          <t>dag</t>
        </is>
      </c>
      <c r="D56" s="301">
        <f>IF('Tarieven 2026'!$J$4="Hoog",'Tarieven 2026'!E11,'Tarieven 2026'!G11)</f>
        <v/>
      </c>
      <c r="E56" s="269" t="n">
        <v>1</v>
      </c>
      <c r="F56" s="302">
        <f>D56*B56*E56</f>
        <v/>
      </c>
      <c r="G56" s="303" t="inlineStr">
        <is>
          <t>Combi 2 man — Tarieven 2026</t>
        </is>
      </c>
    </row>
    <row r="57">
      <c r="A57" s="244" t="inlineStr">
        <is>
          <t>Zuigwagen</t>
        </is>
      </c>
      <c r="B57" s="244" t="n"/>
      <c r="C57" s="260" t="inlineStr">
        <is>
          <t>dag</t>
        </is>
      </c>
      <c r="D57" s="301">
        <f>IF('Tarieven 2026'!$J$4="Hoog",'Tarieven 2026'!E9,'Tarieven 2026'!G9)</f>
        <v/>
      </c>
      <c r="E57" s="269" t="n">
        <v>1</v>
      </c>
      <c r="F57" s="302">
        <f>D57*B57*E57</f>
        <v/>
      </c>
      <c r="G57" s="303" t="inlineStr">
        <is>
          <t>Vacuumwagen 2 man — Tarieven 2026</t>
        </is>
      </c>
    </row>
    <row r="58">
      <c r="A58" s="244" t="inlineStr">
        <is>
          <t>Inspectie</t>
        </is>
      </c>
      <c r="B58" s="244" t="n"/>
      <c r="C58" s="260" t="inlineStr">
        <is>
          <t>dag</t>
        </is>
      </c>
      <c r="D58" s="301">
        <f>IF('Tarieven 2026'!$J$4="Hoog",'Tarieven 2026'!E12,'Tarieven 2026'!G12)</f>
        <v/>
      </c>
      <c r="E58" s="269" t="n">
        <v>1</v>
      </c>
      <c r="F58" s="302">
        <f>D58*B58*E58</f>
        <v/>
      </c>
      <c r="G58" s="303" t="inlineStr">
        <is>
          <t>Inspectie-unit conv. 1 man — Tarieven 2026</t>
        </is>
      </c>
    </row>
    <row r="59">
      <c r="A59" s="244" t="inlineStr">
        <is>
          <t>Werkbus met medewerker</t>
        </is>
      </c>
      <c r="B59" s="244" t="n"/>
      <c r="C59" s="260" t="inlineStr">
        <is>
          <t>dag</t>
        </is>
      </c>
      <c r="D59" s="301">
        <f>IF('Tarieven 2026'!$J$4="Hoog",'Tarieven 2026'!E21,'Tarieven 2026'!G21)+'Tarieven 2026'!G26</f>
        <v/>
      </c>
      <c r="E59" s="269" t="n">
        <v>1</v>
      </c>
      <c r="F59" s="302">
        <f>D59*B59*E59</f>
        <v/>
      </c>
      <c r="G59" s="303" t="inlineStr">
        <is>
          <t>Transportbus + operationeel — Tarieven 2026</t>
        </is>
      </c>
    </row>
    <row r="60">
      <c r="A60" s="244" t="inlineStr">
        <is>
          <t>Afsluiters</t>
        </is>
      </c>
      <c r="B60" s="244" t="n"/>
      <c r="C60" s="260" t="inlineStr">
        <is>
          <t>week</t>
        </is>
      </c>
      <c r="D60" s="271" t="n">
        <v>0</v>
      </c>
      <c r="E60" s="269" t="n">
        <v>1</v>
      </c>
      <c r="F60" s="302">
        <f>D60*B60*E60</f>
        <v/>
      </c>
      <c r="G60" s="244" t="n"/>
    </row>
    <row r="61">
      <c r="A61" s="244" t="inlineStr">
        <is>
          <t>Stortkosten slib</t>
        </is>
      </c>
      <c r="B61" s="244" t="n"/>
      <c r="C61" s="260" t="inlineStr">
        <is>
          <t>ton</t>
        </is>
      </c>
      <c r="D61" s="301">
        <f>'Tarieven 2026'!F22</f>
        <v/>
      </c>
      <c r="E61" s="269" t="n">
        <v>1</v>
      </c>
      <c r="F61" s="302">
        <f>D61*B61*E61</f>
        <v/>
      </c>
      <c r="G61" s="303" t="inlineStr">
        <is>
          <t>Stortkosten RKG-slib p/ton — Tarieven 2026</t>
        </is>
      </c>
    </row>
    <row r="62">
      <c r="A62" s="244" t="inlineStr">
        <is>
          <t>Hotel</t>
        </is>
      </c>
      <c r="B62" s="244" t="n"/>
      <c r="C62" s="260" t="inlineStr">
        <is>
          <t>nacht</t>
        </is>
      </c>
      <c r="D62" s="271" t="n">
        <v>250</v>
      </c>
      <c r="E62" s="269" t="n">
        <v>1</v>
      </c>
      <c r="F62" s="302">
        <f>B62*D62*E62</f>
        <v/>
      </c>
      <c r="G62" s="244" t="n"/>
    </row>
    <row r="63">
      <c r="A63" s="244" t="n"/>
      <c r="B63" s="244" t="n"/>
      <c r="C63" s="260" t="n"/>
      <c r="D63" s="261" t="n"/>
      <c r="E63" s="244" t="n"/>
      <c r="F63" s="300" t="n"/>
      <c r="G63" s="244" t="n"/>
    </row>
    <row r="64">
      <c r="A64" s="265" t="inlineStr">
        <is>
          <t>Verwijderen obstakels</t>
        </is>
      </c>
      <c r="B64" s="257" t="n"/>
      <c r="C64" s="266" t="n"/>
      <c r="D64" s="267" t="n"/>
      <c r="E64" s="257" t="n"/>
      <c r="F64" s="268" t="n"/>
      <c r="G64" s="257" t="n"/>
    </row>
    <row r="65">
      <c r="A65" s="244" t="inlineStr">
        <is>
          <t>Robotfrees</t>
        </is>
      </c>
      <c r="B65" s="244" t="n"/>
      <c r="C65" s="260" t="inlineStr">
        <is>
          <t>dag</t>
        </is>
      </c>
      <c r="D65" s="301">
        <f>IF('Tarieven 2026'!$J$4="Hoog",'Tarieven 2026'!E16,'Tarieven 2026'!G16)</f>
        <v/>
      </c>
      <c r="E65" s="269" t="n">
        <v>1</v>
      </c>
      <c r="F65" s="302">
        <f>B65*D65*E65</f>
        <v/>
      </c>
      <c r="G65" s="303" t="inlineStr">
        <is>
          <t>Robotfrees-unit 2 man — Tarieven 2026</t>
        </is>
      </c>
    </row>
    <row r="66">
      <c r="A66" s="244" t="inlineStr">
        <is>
          <t>Reiniging</t>
        </is>
      </c>
      <c r="B66" s="244" t="n"/>
      <c r="C66" s="260" t="inlineStr">
        <is>
          <t>dag</t>
        </is>
      </c>
      <c r="D66" s="301">
        <f>IF('Tarieven 2026'!$J$4="Hoog",'Tarieven 2026'!E5,'Tarieven 2026'!G5)</f>
        <v/>
      </c>
      <c r="E66" s="269" t="n">
        <v>1</v>
      </c>
      <c r="F66" s="302">
        <f>B66*D66*E66</f>
        <v/>
      </c>
      <c r="G66" s="303" t="inlineStr">
        <is>
          <t>RR combinatie 2 man — Tarieven 2026</t>
        </is>
      </c>
    </row>
    <row r="67">
      <c r="A67" s="244" t="inlineStr">
        <is>
          <t>Inspectie</t>
        </is>
      </c>
      <c r="B67" s="244" t="n"/>
      <c r="C67" s="260" t="inlineStr">
        <is>
          <t>dag</t>
        </is>
      </c>
      <c r="D67" s="301">
        <f>IF('Tarieven 2026'!$J$4="Hoog",'Tarieven 2026'!E12,'Tarieven 2026'!G12)</f>
        <v/>
      </c>
      <c r="E67" s="269" t="n">
        <v>1</v>
      </c>
      <c r="F67" s="302">
        <f>B67*D67*E67</f>
        <v/>
      </c>
      <c r="G67" s="303" t="inlineStr">
        <is>
          <t>Inspectie-unit conv. 1 man — Tarieven 2026</t>
        </is>
      </c>
    </row>
    <row r="68" ht="13.5" customHeight="1">
      <c r="A68" s="244" t="inlineStr">
        <is>
          <t>Afsluiters</t>
        </is>
      </c>
      <c r="B68" s="244" t="n"/>
      <c r="C68" s="260" t="inlineStr">
        <is>
          <t>week</t>
        </is>
      </c>
      <c r="D68" s="271" t="n">
        <v>0</v>
      </c>
      <c r="E68" s="269" t="n">
        <v>1</v>
      </c>
      <c r="F68" s="302">
        <f>B68*D68*E68</f>
        <v/>
      </c>
      <c r="G68" s="244" t="n"/>
    </row>
    <row r="69">
      <c r="A69" s="244" t="inlineStr">
        <is>
          <t>Stortkosten slib</t>
        </is>
      </c>
      <c r="B69" s="244" t="n"/>
      <c r="C69" s="260" t="inlineStr">
        <is>
          <t>ton</t>
        </is>
      </c>
      <c r="D69" s="301">
        <f>'Tarieven 2026'!F22</f>
        <v/>
      </c>
      <c r="E69" s="269" t="n">
        <v>1</v>
      </c>
      <c r="F69" s="302">
        <f>B69*D69*E69</f>
        <v/>
      </c>
      <c r="G69" s="303" t="inlineStr">
        <is>
          <t>Stortkosten RKG-slib p/ton — Tarieven 2026</t>
        </is>
      </c>
    </row>
    <row r="70">
      <c r="A70" s="244" t="inlineStr">
        <is>
          <t>Hotel</t>
        </is>
      </c>
      <c r="B70" s="244" t="n"/>
      <c r="C70" s="260" t="inlineStr">
        <is>
          <t>nacht</t>
        </is>
      </c>
      <c r="D70" s="271" t="n">
        <v>250</v>
      </c>
      <c r="E70" s="269" t="n">
        <v>2</v>
      </c>
      <c r="F70" s="302">
        <f>B70*D70*E70</f>
        <v/>
      </c>
      <c r="G70" s="244" t="n"/>
    </row>
    <row r="71">
      <c r="A71" s="244" t="n"/>
      <c r="B71" s="244" t="n"/>
      <c r="C71" s="260" t="n"/>
      <c r="D71" s="261" t="n"/>
      <c r="E71" s="244" t="n"/>
      <c r="F71" s="300" t="n"/>
      <c r="G71" s="244" t="n"/>
    </row>
    <row r="72">
      <c r="A72" s="265" t="inlineStr">
        <is>
          <t xml:space="preserve">Renovatie </t>
        </is>
      </c>
      <c r="B72" s="257" t="n"/>
      <c r="C72" s="266" t="n"/>
      <c r="D72" s="267" t="n"/>
      <c r="E72" s="257" t="n"/>
      <c r="F72" s="268" t="n"/>
      <c r="G72" s="257" t="n"/>
    </row>
    <row r="73">
      <c r="A73" s="244" t="inlineStr">
        <is>
          <t>Robotfrees</t>
        </is>
      </c>
      <c r="B73" s="244" t="n"/>
      <c r="C73" s="260" t="inlineStr">
        <is>
          <t>dag</t>
        </is>
      </c>
      <c r="D73" s="301">
        <f>IF('Tarieven 2026'!$J$4="Hoog",'Tarieven 2026'!E16,'Tarieven 2026'!G16)</f>
        <v/>
      </c>
      <c r="E73" s="269" t="n">
        <v>1</v>
      </c>
      <c r="F73" s="302">
        <f>B73*D73*E73</f>
        <v/>
      </c>
      <c r="G73" s="303" t="inlineStr">
        <is>
          <t>Robotfrees-unit 2 man — Tarieven 2026</t>
        </is>
      </c>
    </row>
    <row r="74">
      <c r="A74" s="244" t="inlineStr">
        <is>
          <t>Reiniging</t>
        </is>
      </c>
      <c r="B74" s="244" t="n"/>
      <c r="C74" s="260" t="inlineStr">
        <is>
          <t>dag</t>
        </is>
      </c>
      <c r="D74" s="301">
        <f>IF('Tarieven 2026'!$J$4="Hoog",'Tarieven 2026'!E5,'Tarieven 2026'!G5)</f>
        <v/>
      </c>
      <c r="E74" s="269" t="n">
        <v>1</v>
      </c>
      <c r="F74" s="302">
        <f>B74*D74*E74</f>
        <v/>
      </c>
      <c r="G74" s="303" t="inlineStr">
        <is>
          <t>RR combinatie 2 man — Tarieven 2026</t>
        </is>
      </c>
    </row>
    <row r="75">
      <c r="A75" s="244" t="inlineStr">
        <is>
          <t>Inspectie</t>
        </is>
      </c>
      <c r="B75" s="244" t="n"/>
      <c r="C75" s="260" t="inlineStr">
        <is>
          <t>dag</t>
        </is>
      </c>
      <c r="D75" s="301">
        <f>IF('Tarieven 2026'!$J$4="Hoog",'Tarieven 2026'!E12,'Tarieven 2026'!G12)</f>
        <v/>
      </c>
      <c r="E75" s="269" t="n">
        <v>1</v>
      </c>
      <c r="F75" s="302">
        <f>B75*D75*E75</f>
        <v/>
      </c>
      <c r="G75" s="303" t="inlineStr">
        <is>
          <t>Inspectie-unit conv. 1 man — Tarieven 2026</t>
        </is>
      </c>
    </row>
    <row r="76">
      <c r="A76" s="244" t="inlineStr">
        <is>
          <t>UV-ploeg 4 man</t>
        </is>
      </c>
      <c r="B76" s="269" t="n">
        <v>5</v>
      </c>
      <c r="C76" s="260" t="inlineStr">
        <is>
          <t>dag</t>
        </is>
      </c>
      <c r="D76" s="301">
        <f>'Tarieven 2026'!G34</f>
        <v/>
      </c>
      <c r="E76" s="269" t="n">
        <v>1</v>
      </c>
      <c r="F76" s="302">
        <f>B76*D76*E76</f>
        <v/>
      </c>
      <c r="G76" s="303" t="inlineStr">
        <is>
          <t>UV-ploeg 4 man — Tarieven 2026</t>
        </is>
      </c>
    </row>
    <row r="77">
      <c r="A77" s="244" t="inlineStr">
        <is>
          <t>Stoomploeg klein - drukvat 4 man</t>
        </is>
      </c>
      <c r="B77" s="244" t="n"/>
      <c r="C77" s="260" t="inlineStr">
        <is>
          <t>dag</t>
        </is>
      </c>
      <c r="D77" s="301">
        <f>'Tarieven 2026'!G32</f>
        <v/>
      </c>
      <c r="E77" s="269" t="n">
        <v>1</v>
      </c>
      <c r="F77" s="302">
        <f>B77*D77*E77</f>
        <v/>
      </c>
      <c r="G77" s="303" t="inlineStr">
        <is>
          <t>Viltploeg stoom drukvat 4 man — Tarieven 2026</t>
        </is>
      </c>
    </row>
    <row r="78">
      <c r="A78" s="244" t="inlineStr">
        <is>
          <t>Stoomploeg groot - DGA 6 man</t>
        </is>
      </c>
      <c r="B78" s="244" t="n"/>
      <c r="C78" s="260" t="inlineStr">
        <is>
          <t>dag</t>
        </is>
      </c>
      <c r="D78" s="301">
        <f>'Tarieven 2026'!G33</f>
        <v/>
      </c>
      <c r="E78" s="269" t="n">
        <v>1</v>
      </c>
      <c r="F78" s="302">
        <f>B78*D78*E78</f>
        <v/>
      </c>
      <c r="G78" s="303" t="inlineStr">
        <is>
          <t>Viltploeg stoom DGA 6 man — Tarieven 2026</t>
        </is>
      </c>
    </row>
    <row r="79">
      <c r="A79" s="244" t="inlineStr">
        <is>
          <t>Brandstof stook uren</t>
        </is>
      </c>
      <c r="B79" s="244" t="n"/>
      <c r="C79" s="260" t="inlineStr">
        <is>
          <t>uur</t>
        </is>
      </c>
      <c r="D79" s="270">
        <f>150*2</f>
        <v/>
      </c>
      <c r="E79" s="269" t="n">
        <v>1</v>
      </c>
      <c r="F79" s="302">
        <f>B79*D79*E79</f>
        <v/>
      </c>
      <c r="G79" s="244" t="inlineStr">
        <is>
          <t>150ltr per uur</t>
        </is>
      </c>
    </row>
    <row r="80">
      <c r="A80" s="244" t="inlineStr">
        <is>
          <t>Waterploeg klein - chip 4 man</t>
        </is>
      </c>
      <c r="B80" s="244" t="n"/>
      <c r="C80" s="260" t="inlineStr">
        <is>
          <t>dag</t>
        </is>
      </c>
      <c r="D80" s="301">
        <f>'Tarieven 2026'!G28</f>
        <v/>
      </c>
      <c r="E80" s="269" t="n">
        <v>1</v>
      </c>
      <c r="F80" s="302">
        <f>B80*D80*E80</f>
        <v/>
      </c>
      <c r="G80" s="303" t="inlineStr">
        <is>
          <t>Viltploeg water chip 4 man — Tarieven 2026</t>
        </is>
      </c>
    </row>
    <row r="81">
      <c r="A81" s="244" t="inlineStr">
        <is>
          <t>Waterploeg groot - steiger 6 man</t>
        </is>
      </c>
      <c r="B81" s="244" t="n"/>
      <c r="C81" s="260" t="inlineStr">
        <is>
          <t>dag</t>
        </is>
      </c>
      <c r="D81" s="301">
        <f>'Tarieven 2026'!G29</f>
        <v/>
      </c>
      <c r="E81" s="269" t="n">
        <v>1</v>
      </c>
      <c r="F81" s="302">
        <f>B81*D81*E81</f>
        <v/>
      </c>
      <c r="G81" s="303" t="inlineStr">
        <is>
          <t>Viltploeg water steiger 6 man — Tarieven 2026</t>
        </is>
      </c>
    </row>
    <row r="82">
      <c r="A82" s="244" t="inlineStr">
        <is>
          <t>Brandstof stook uren</t>
        </is>
      </c>
      <c r="B82" s="244" t="n"/>
      <c r="C82" s="260" t="inlineStr">
        <is>
          <t>uur</t>
        </is>
      </c>
      <c r="D82" s="270">
        <f>150*2</f>
        <v/>
      </c>
      <c r="E82" s="269" t="n">
        <v>1</v>
      </c>
      <c r="F82" s="302">
        <f>B82*D82*E82</f>
        <v/>
      </c>
      <c r="G82" s="244" t="inlineStr">
        <is>
          <t>150ltr per uur</t>
        </is>
      </c>
    </row>
    <row r="83">
      <c r="A83" s="244" t="inlineStr">
        <is>
          <t>Water ploeg extra stookwagen</t>
        </is>
      </c>
      <c r="B83" s="244" t="n"/>
      <c r="C83" s="260" t="inlineStr">
        <is>
          <t>dag</t>
        </is>
      </c>
      <c r="D83" s="270">
        <f>+((2*52.5)+28+24)*8</f>
        <v/>
      </c>
      <c r="E83" s="269" t="n">
        <v>1</v>
      </c>
      <c r="F83" s="302">
        <f>B83*D83*E83</f>
        <v/>
      </c>
      <c r="G83" s="244" t="inlineStr">
        <is>
          <t>enkel de stookdagen doorrekenen</t>
        </is>
      </c>
    </row>
    <row r="84">
      <c r="A84" s="244" t="inlineStr">
        <is>
          <t>Brandstof stook uren</t>
        </is>
      </c>
      <c r="B84" s="244" t="n"/>
      <c r="C84" s="260" t="inlineStr">
        <is>
          <t>uur</t>
        </is>
      </c>
      <c r="D84" s="270">
        <f>250*2</f>
        <v/>
      </c>
      <c r="E84" s="269" t="n">
        <v>1</v>
      </c>
      <c r="F84" s="302">
        <f>B84*D84*E84</f>
        <v/>
      </c>
      <c r="G84" s="244" t="inlineStr">
        <is>
          <t>250ltr per uur</t>
        </is>
      </c>
    </row>
    <row r="85">
      <c r="A85" s="244" t="inlineStr">
        <is>
          <t>Wakers - 2 man nachturen</t>
        </is>
      </c>
      <c r="B85" s="244" t="n"/>
      <c r="C85" s="260" t="inlineStr">
        <is>
          <t>nacht</t>
        </is>
      </c>
      <c r="D85" s="301">
        <f>(2*'Tarieven 2026'!$F$26)*12*1.3</f>
        <v/>
      </c>
      <c r="E85" s="269" t="n">
        <v>1</v>
      </c>
      <c r="F85" s="302">
        <f>B85*D85*E85</f>
        <v/>
      </c>
      <c r="G85" s="303" t="inlineStr">
        <is>
          <t>2x operationeel x 12u x nachtfactor 1,3 — Tarieven 2026</t>
        </is>
      </c>
    </row>
    <row r="86">
      <c r="A86" s="244" t="inlineStr">
        <is>
          <t>Wakers - 2 man uitslaapdag</t>
        </is>
      </c>
      <c r="B86" s="244" t="n"/>
      <c r="C86" s="260" t="inlineStr">
        <is>
          <t>dag</t>
        </is>
      </c>
      <c r="D86" s="301">
        <f>(2*'Tarieven 2026'!$F$26)*8</f>
        <v/>
      </c>
      <c r="E86" s="269" t="n">
        <v>1</v>
      </c>
      <c r="F86" s="302">
        <f>B86*D86*E86</f>
        <v/>
      </c>
      <c r="G86" s="303" t="inlineStr">
        <is>
          <t>2x operationeel x 8u — Tarieven 2026</t>
        </is>
      </c>
    </row>
    <row r="87">
      <c r="A87" s="244" t="inlineStr">
        <is>
          <t>Telekraan - 40 tons</t>
        </is>
      </c>
      <c r="B87" s="244" t="n"/>
      <c r="C87" s="260" t="inlineStr">
        <is>
          <t>uur</t>
        </is>
      </c>
      <c r="D87" s="271" t="n">
        <v>145</v>
      </c>
      <c r="E87" s="269" t="n">
        <v>1</v>
      </c>
      <c r="F87" s="302">
        <f>B87*D87*E87</f>
        <v/>
      </c>
      <c r="G87" s="244" t="inlineStr">
        <is>
          <t>Tatrief KVN</t>
        </is>
      </c>
    </row>
    <row r="88">
      <c r="A88" s="244" t="inlineStr">
        <is>
          <t>Kraanauto t.b.v. transport grote liners</t>
        </is>
      </c>
      <c r="B88" s="244" t="n"/>
      <c r="C88" s="260" t="inlineStr">
        <is>
          <t>uur</t>
        </is>
      </c>
      <c r="D88" s="271" t="n">
        <v>155</v>
      </c>
      <c r="E88" s="269" t="n">
        <v>1</v>
      </c>
      <c r="F88" s="302">
        <f>B88*D88*E88</f>
        <v/>
      </c>
      <c r="G88" s="244" t="inlineStr">
        <is>
          <t>Tatrief Westdijk</t>
        </is>
      </c>
    </row>
    <row r="89">
      <c r="A89" s="244" t="inlineStr">
        <is>
          <t>Hotel</t>
        </is>
      </c>
      <c r="B89" s="269" t="n">
        <v>24</v>
      </c>
      <c r="C89" s="260" t="inlineStr">
        <is>
          <t>nacht</t>
        </is>
      </c>
      <c r="D89" s="271" t="n">
        <v>250</v>
      </c>
      <c r="E89" s="269" t="n">
        <v>1</v>
      </c>
      <c r="F89" s="302">
        <f>B89*D89*E89</f>
        <v/>
      </c>
      <c r="G89" s="244" t="inlineStr">
        <is>
          <t>Tarief incl. ontbijt, lunch, diner en vergoeding medewerker</t>
        </is>
      </c>
    </row>
    <row r="90">
      <c r="A90" s="244" t="inlineStr">
        <is>
          <t>Stortkosten slib</t>
        </is>
      </c>
      <c r="B90" s="244" t="n"/>
      <c r="C90" s="260" t="inlineStr">
        <is>
          <t>ton</t>
        </is>
      </c>
      <c r="D90" s="301">
        <f>'Tarieven 2026'!F22</f>
        <v/>
      </c>
      <c r="E90" s="269" t="n">
        <v>1</v>
      </c>
      <c r="F90" s="302">
        <f>D90*B90*E90</f>
        <v/>
      </c>
      <c r="G90" s="303" t="inlineStr">
        <is>
          <t>Stortkosten RKG-slib p/ton — Tarieven 2026</t>
        </is>
      </c>
    </row>
    <row r="91">
      <c r="A91" s="244" t="n"/>
      <c r="B91" s="244" t="n"/>
      <c r="C91" s="260" t="n"/>
      <c r="D91" s="261" t="n"/>
      <c r="E91" s="244" t="n"/>
      <c r="F91" s="300" t="n"/>
      <c r="G91" s="244" t="n"/>
    </row>
    <row r="92">
      <c r="A92" s="265" t="inlineStr">
        <is>
          <t>Oplevering</t>
        </is>
      </c>
      <c r="B92" s="257" t="n"/>
      <c r="C92" s="266" t="n"/>
      <c r="D92" s="267" t="n"/>
      <c r="E92" s="257" t="n"/>
      <c r="F92" s="268" t="n"/>
      <c r="G92" s="257" t="n"/>
    </row>
    <row r="93">
      <c r="A93" s="244" t="inlineStr">
        <is>
          <t>Reiniging</t>
        </is>
      </c>
      <c r="B93" s="269" t="n">
        <v>0.5</v>
      </c>
      <c r="C93" s="260" t="inlineStr">
        <is>
          <t>dag</t>
        </is>
      </c>
      <c r="D93" s="301">
        <f>IF('Tarieven 2026'!$J$4="Hoog",'Tarieven 2026'!E5,'Tarieven 2026'!G5)</f>
        <v/>
      </c>
      <c r="E93" s="269" t="n">
        <v>1</v>
      </c>
      <c r="F93" s="302">
        <f>B93*D93*E93</f>
        <v/>
      </c>
      <c r="G93" s="303" t="inlineStr">
        <is>
          <t>RR combinatie 2 man (0,5 dag) — Tarieven 2026</t>
        </is>
      </c>
    </row>
    <row r="94">
      <c r="A94" s="244" t="inlineStr">
        <is>
          <t>Inspectie</t>
        </is>
      </c>
      <c r="B94" s="269" t="n">
        <v>0.5</v>
      </c>
      <c r="C94" s="260" t="inlineStr">
        <is>
          <t>dag</t>
        </is>
      </c>
      <c r="D94" s="301">
        <f>IF('Tarieven 2026'!$J$4="Hoog",'Tarieven 2026'!E12,'Tarieven 2026'!G12)</f>
        <v/>
      </c>
      <c r="E94" s="269" t="n">
        <v>1</v>
      </c>
      <c r="F94" s="302">
        <f>B94*D94*E94</f>
        <v/>
      </c>
      <c r="G94" s="303" t="inlineStr">
        <is>
          <t>Inspectie-unit conv. 1 man (0,5 dag) — Tarieven 2026</t>
        </is>
      </c>
    </row>
    <row r="95">
      <c r="A95" s="244" t="n"/>
      <c r="B95" s="244" t="n"/>
      <c r="C95" s="260" t="n"/>
      <c r="D95" s="261" t="n"/>
      <c r="E95" s="244" t="n"/>
      <c r="F95" s="300" t="n"/>
      <c r="G95" s="244" t="n"/>
    </row>
    <row r="96" ht="13.5" customHeight="1" thickBot="1">
      <c r="A96" s="265" t="inlineStr">
        <is>
          <t>Materiaal</t>
        </is>
      </c>
      <c r="B96" s="257" t="n"/>
      <c r="C96" s="266" t="n"/>
      <c r="D96" s="267" t="n"/>
      <c r="E96" s="257" t="n"/>
      <c r="F96" s="268" t="n"/>
      <c r="G96" s="257" t="n"/>
      <c r="I96" s="304" t="inlineStr">
        <is>
          <t>kousnr</t>
        </is>
      </c>
      <c r="J96" s="304" t="inlineStr">
        <is>
          <t>straat</t>
        </is>
      </c>
      <c r="K96" s="304" t="inlineStr">
        <is>
          <t>type</t>
        </is>
      </c>
      <c r="L96" s="304" t="inlineStr">
        <is>
          <t>van put</t>
        </is>
      </c>
      <c r="M96" s="304" t="inlineStr">
        <is>
          <t>naar put</t>
        </is>
      </c>
      <c r="N96" s="304" t="inlineStr">
        <is>
          <t>lengte</t>
        </is>
      </c>
      <c r="O96" s="304" t="inlineStr">
        <is>
          <t>dikte</t>
        </is>
      </c>
      <c r="P96" s="304" t="inlineStr">
        <is>
          <t>dia</t>
        </is>
      </c>
      <c r="Q96" s="304" t="inlineStr">
        <is>
          <t>aansl</t>
        </is>
      </c>
      <c r="R96" s="304" t="inlineStr">
        <is>
          <t>Type UV</t>
        </is>
      </c>
      <c r="S96" s="304" t="inlineStr">
        <is>
          <t>liner-soort</t>
        </is>
      </c>
      <c r="T96" s="206" t="inlineStr">
        <is>
          <t>Kolom2</t>
        </is>
      </c>
      <c r="U96" s="207" t="inlineStr">
        <is>
          <t>Inbreng Datum</t>
        </is>
      </c>
      <c r="V96" s="206" t="inlineStr">
        <is>
          <t>Kolom3</t>
        </is>
      </c>
      <c r="W96" s="206" t="inlineStr">
        <is>
          <t>Kolom4</t>
        </is>
      </c>
      <c r="X96" s="206" t="inlineStr">
        <is>
          <t>Kolom5</t>
        </is>
      </c>
      <c r="Y96" s="206" t="inlineStr">
        <is>
          <t>Kolom6</t>
        </is>
      </c>
      <c r="Z96" s="206" t="inlineStr">
        <is>
          <t>Kolom7</t>
        </is>
      </c>
      <c r="AA96" s="206" t="inlineStr">
        <is>
          <t>Kolom8</t>
        </is>
      </c>
      <c r="AB96" s="206" t="inlineStr">
        <is>
          <t>Kolom9</t>
        </is>
      </c>
      <c r="AC96" s="206" t="inlineStr">
        <is>
          <t>Kolom10</t>
        </is>
      </c>
      <c r="AD96" s="206" t="inlineStr">
        <is>
          <t>Kolom11</t>
        </is>
      </c>
    </row>
    <row r="97" ht="14.25" customHeight="1">
      <c r="A97" s="244">
        <f>IF(J97="","",_xlfn.CONCAT("Kous "&amp;I97&amp;" DN"&amp;P97&amp;" - "&amp;O97&amp;"mm - "&amp;N97&amp;"m - ("&amp;J97&amp;")"))</f>
        <v/>
      </c>
      <c r="B97" s="244" t="n"/>
      <c r="C97" s="260" t="inlineStr">
        <is>
          <t>EUR</t>
        </is>
      </c>
      <c r="D97" s="270" t="n">
        <v>1</v>
      </c>
      <c r="E97" s="305" t="n">
        <v>1</v>
      </c>
      <c r="F97" s="302">
        <f>IFERROR(B97*D97*E97,"")</f>
        <v/>
      </c>
      <c r="G97" s="244" t="n"/>
      <c r="I97" s="306" t="n"/>
      <c r="J97" s="306" t="n"/>
      <c r="K97" s="306" t="n"/>
      <c r="L97" s="306" t="n"/>
      <c r="M97" s="306" t="n"/>
      <c r="N97" s="307" t="n"/>
      <c r="O97" s="306" t="n"/>
      <c r="P97" s="306" t="n"/>
      <c r="Q97" s="306" t="n"/>
      <c r="R97" s="306" t="n"/>
      <c r="S97" s="306" t="n"/>
      <c r="U97" s="308" t="n"/>
    </row>
    <row r="98">
      <c r="A98" s="244">
        <f>IF(J98="","",_xlfn.CONCAT("Kous "&amp;I98&amp;" DN"&amp;P98&amp;" - "&amp;O98&amp;"mm - "&amp;N98&amp;"m - ("&amp;J98&amp;")"))</f>
        <v/>
      </c>
      <c r="B98" s="305">
        <f>IFERROR(IF($K98="UV",IF($S98="S+ liner",($N98*(INDEX(Prijzen!$C$15:$P$70,MATCH($P98,Prijzen!$B$15:$B$70,0),MATCH($O98,Prijzen!$C$14:$O$14,0)))*0.58),IF($S98="M liner",($N98*(INDEX(Prijzen!$C$2:$P$11,MATCH($P98,Prijzen!$B$2:$B$11,0),MATCH($O98,Prijzen!$C$1:$P$1,0))))*0.58,0)),$N98*INDEX(Prijzen!$C$73:$P$94,MATCH($P98,Prijzen!$B$73:$B$94,0),MATCH($O98,Prijzen!$C$72:$P$72,0))),"")</f>
        <v/>
      </c>
      <c r="C98" s="260" t="inlineStr">
        <is>
          <t>EUR</t>
        </is>
      </c>
      <c r="D98" s="270" t="n">
        <v>1</v>
      </c>
      <c r="E98" s="305" t="n">
        <v>1</v>
      </c>
      <c r="F98" s="302">
        <f>IFERROR(B98*D98*E98,"")</f>
        <v/>
      </c>
      <c r="G98" s="244" t="n"/>
      <c r="I98" s="306" t="n"/>
      <c r="J98" s="306" t="n"/>
      <c r="K98" s="306" t="n"/>
      <c r="L98" s="306" t="n"/>
      <c r="M98" s="306" t="n"/>
      <c r="N98" s="307" t="n"/>
      <c r="O98" s="306" t="n"/>
      <c r="P98" s="306" t="n"/>
      <c r="Q98" s="306" t="n"/>
      <c r="R98" s="306" t="n"/>
      <c r="S98" s="306" t="n"/>
      <c r="U98" s="308" t="n"/>
    </row>
    <row r="99">
      <c r="A99" s="244">
        <f>IF(J99="","",_xlfn.CONCAT("Kous "&amp;I99&amp;" DN"&amp;P99&amp;" - "&amp;O99&amp;"mm - "&amp;N99&amp;"m - ("&amp;J99&amp;")"))</f>
        <v/>
      </c>
      <c r="B99" s="305">
        <f>IFERROR(IF($K99="UV",IF($S99="S+ liner",($N99*(INDEX(Prijzen!$C$15:$P$70,MATCH($P99,Prijzen!$B$15:$B$70,0),MATCH($O99,Prijzen!$C$14:$O$14,0)))*0.58),IF($S99="M liner",($N99*(INDEX(Prijzen!$C$2:$P$11,MATCH($P99,Prijzen!$B$2:$B$11,0),MATCH($O99,Prijzen!$C$1:$P$1,0))))*0.58,0)),$N99*INDEX(Prijzen!$C$73:$P$94,MATCH($P99,Prijzen!$B$73:$B$94,0),MATCH($O99,Prijzen!$C$72:$P$72,0))),"")</f>
        <v/>
      </c>
      <c r="C99" s="260" t="inlineStr">
        <is>
          <t>EUR</t>
        </is>
      </c>
      <c r="D99" s="270" t="n">
        <v>1</v>
      </c>
      <c r="E99" s="305" t="n">
        <v>1</v>
      </c>
      <c r="F99" s="302">
        <f>IFERROR(B99*D99*E99,"")</f>
        <v/>
      </c>
      <c r="G99" s="244" t="n"/>
      <c r="I99" s="306" t="n"/>
      <c r="J99" s="306" t="n"/>
      <c r="K99" s="306" t="n"/>
      <c r="L99" s="306" t="n"/>
      <c r="M99" s="306" t="n"/>
      <c r="N99" s="307" t="n"/>
      <c r="O99" s="306" t="n"/>
      <c r="P99" s="306" t="n"/>
      <c r="Q99" s="306" t="n"/>
      <c r="R99" s="306" t="n"/>
      <c r="S99" s="306" t="n"/>
      <c r="U99" s="308" t="n"/>
    </row>
    <row r="100" hidden="1">
      <c r="A100" s="244">
        <f>IF(J100="","",_xlfn.CONCAT("Kous "&amp;I100&amp;" DN"&amp;P100&amp;" - "&amp;O100&amp;"mm - "&amp;N100&amp;"m - ("&amp;J100&amp;")"))</f>
        <v/>
      </c>
      <c r="B100" s="305">
        <f>IFERROR(IF($K100="UV",IF($S100="S+ liner",($N100*(INDEX(Prijzen!$C$15:$P$70,MATCH($P100,Prijzen!$B$15:$B$70,0),MATCH($O100,Prijzen!$C$14:$O$14,0)))*0.58),IF($S100="M liner",($N100*(INDEX(Prijzen!$C$2:$P$11,MATCH($P100,Prijzen!$B$2:$B$11,0),MATCH($O100,Prijzen!$C$1:$P$1,0))))*0.58,0)),$N100*INDEX(Prijzen!$C$73:$P$94,MATCH($P100,Prijzen!$B$73:$B$94,0),MATCH($O100,Prijzen!$C$72:$P$72,0))),"")</f>
        <v/>
      </c>
      <c r="C100" s="260" t="inlineStr">
        <is>
          <t>EUR</t>
        </is>
      </c>
      <c r="D100" s="270" t="n">
        <v>1</v>
      </c>
      <c r="E100" s="305" t="n">
        <v>1</v>
      </c>
      <c r="F100" s="302">
        <f>IFERROR(B100*D100*E100,"")</f>
        <v/>
      </c>
      <c r="G100" s="244" t="n"/>
      <c r="I100" s="306" t="n"/>
      <c r="J100" s="306" t="n"/>
      <c r="K100" s="306" t="n"/>
      <c r="L100" s="306" t="n"/>
      <c r="M100" s="306" t="n"/>
      <c r="N100" s="307" t="n"/>
      <c r="O100" s="306" t="n"/>
      <c r="P100" s="306" t="n"/>
      <c r="Q100" s="306" t="n"/>
      <c r="R100" s="306" t="n"/>
      <c r="S100" s="306" t="n"/>
      <c r="U100" s="308" t="n"/>
    </row>
    <row r="101" hidden="1">
      <c r="A101" s="244">
        <f>IF(J101="","",_xlfn.CONCAT("Kous "&amp;I101&amp;" DN"&amp;P101&amp;" - "&amp;O101&amp;"mm - "&amp;N101&amp;"m - ("&amp;J101&amp;")"))</f>
        <v/>
      </c>
      <c r="B101" s="305">
        <f>IFERROR(IF($K101="UV",IF($S101="S+ liner",($N101*(INDEX(Prijzen!$C$15:$P$70,MATCH($P101,Prijzen!$B$15:$B$70,0),MATCH($O101,Prijzen!$C$14:$O$14,0)))*0.58),IF($S101="M liner",($N101*(INDEX(Prijzen!$C$2:$P$11,MATCH($P101,Prijzen!$B$2:$B$11,0),MATCH($O101,Prijzen!$C$1:$P$1,0))))*0.58,0)),$N101*INDEX(Prijzen!$C$73:$P$94,MATCH($P101,Prijzen!$B$73:$B$94,0),MATCH($O101,Prijzen!$C$72:$P$72,0))),"")</f>
        <v/>
      </c>
      <c r="C101" s="260" t="inlineStr">
        <is>
          <t>EUR</t>
        </is>
      </c>
      <c r="D101" s="270" t="n">
        <v>1</v>
      </c>
      <c r="E101" s="305" t="n">
        <v>1</v>
      </c>
      <c r="F101" s="302">
        <f>IFERROR(B101*D101*E101,"")</f>
        <v/>
      </c>
      <c r="G101" s="244" t="n"/>
      <c r="I101" s="306" t="n"/>
      <c r="J101" s="306" t="n"/>
      <c r="K101" s="306" t="n"/>
      <c r="L101" s="306" t="n"/>
      <c r="M101" s="306" t="n"/>
      <c r="N101" s="307" t="n"/>
      <c r="O101" s="306" t="n"/>
      <c r="P101" s="306" t="n"/>
      <c r="Q101" s="306" t="n"/>
      <c r="R101" s="306" t="n"/>
      <c r="S101" s="306" t="n"/>
      <c r="U101" s="308" t="n"/>
    </row>
    <row r="102" hidden="1">
      <c r="A102" s="244">
        <f>IF(J102="","",_xlfn.CONCAT("Kous "&amp;I102&amp;" DN"&amp;P102&amp;" - "&amp;O102&amp;"mm - "&amp;N102&amp;"m - ("&amp;J102&amp;")"))</f>
        <v/>
      </c>
      <c r="B102" s="305">
        <f>IFERROR(IF($K102="UV",IF($S102="S+ liner",($N102*(INDEX(Prijzen!$C$15:$P$70,MATCH($P102,Prijzen!$B$15:$B$70,0),MATCH($O102,Prijzen!$C$14:$O$14,0)))*0.58),IF($S102="M liner",($N102*(INDEX(Prijzen!$C$2:$P$11,MATCH($P102,Prijzen!$B$2:$B$11,0),MATCH($O102,Prijzen!$C$1:$P$1,0))))*0.58,0)),$N102*INDEX(Prijzen!$C$73:$P$94,MATCH($P102,Prijzen!$B$73:$B$94,0),MATCH($O102,Prijzen!$C$72:$P$72,0))),"")</f>
        <v/>
      </c>
      <c r="C102" s="260" t="inlineStr">
        <is>
          <t>EUR</t>
        </is>
      </c>
      <c r="D102" s="270" t="n">
        <v>1</v>
      </c>
      <c r="E102" s="305" t="n">
        <v>1</v>
      </c>
      <c r="F102" s="302">
        <f>IFERROR(B102*D102*E102,"")</f>
        <v/>
      </c>
      <c r="G102" s="244" t="n"/>
      <c r="I102" s="306" t="n"/>
      <c r="J102" s="306" t="n"/>
      <c r="K102" s="306" t="n"/>
      <c r="L102" s="306" t="n"/>
      <c r="M102" s="306" t="n"/>
      <c r="N102" s="307" t="n"/>
      <c r="O102" s="306" t="n"/>
      <c r="P102" s="306" t="n"/>
      <c r="Q102" s="306" t="n"/>
      <c r="R102" s="306" t="n"/>
      <c r="S102" s="306" t="n"/>
      <c r="U102" s="308" t="n"/>
    </row>
    <row r="103" hidden="1">
      <c r="A103" s="244">
        <f>IF(J103="","",_xlfn.CONCAT("Kous "&amp;I103&amp;" DN"&amp;P103&amp;" - "&amp;O103&amp;"mm - "&amp;N103&amp;"m - ("&amp;J103&amp;")"))</f>
        <v/>
      </c>
      <c r="B103" s="305">
        <f>IFERROR(IF($K103="UV",IF($S103="S+ liner",($N103*(INDEX(Prijzen!$C$15:$P$70,MATCH($P103,Prijzen!$B$15:$B$70,0),MATCH($O103,Prijzen!$C$14:$O$14,0)))*0.58),IF($S103="M liner",($N103*(INDEX(Prijzen!$C$2:$P$11,MATCH($P103,Prijzen!$B$2:$B$11,0),MATCH($O103,Prijzen!$C$1:$P$1,0))))*0.58,0)),$N103*INDEX(Prijzen!$C$73:$P$94,MATCH($P103,Prijzen!$B$73:$B$94,0),MATCH($O103,Prijzen!$C$72:$P$72,0))),"")</f>
        <v/>
      </c>
      <c r="C103" s="260" t="inlineStr">
        <is>
          <t>EUR</t>
        </is>
      </c>
      <c r="D103" s="270" t="n">
        <v>1</v>
      </c>
      <c r="E103" s="305" t="n">
        <v>1</v>
      </c>
      <c r="F103" s="302">
        <f>IFERROR(B103*D103*E103,"")</f>
        <v/>
      </c>
      <c r="G103" s="244" t="n"/>
      <c r="I103" s="306" t="n"/>
      <c r="J103" s="306" t="n"/>
      <c r="K103" s="306" t="n"/>
      <c r="L103" s="306" t="n"/>
      <c r="M103" s="306" t="n"/>
      <c r="N103" s="307" t="n"/>
      <c r="O103" s="306" t="n"/>
      <c r="P103" s="306" t="n"/>
      <c r="Q103" s="306" t="n"/>
      <c r="R103" s="306" t="n"/>
      <c r="S103" s="306" t="n"/>
      <c r="U103" s="308" t="n"/>
    </row>
    <row r="104" hidden="1">
      <c r="A104" s="244">
        <f>IF(J104="","",_xlfn.CONCAT("Kous "&amp;I104&amp;" DN"&amp;P104&amp;" - "&amp;O104&amp;"mm - "&amp;N104&amp;"m - ("&amp;J104&amp;")"))</f>
        <v/>
      </c>
      <c r="B104" s="305">
        <f>IFERROR(IF($K104="UV",IF($S104="S+ liner",($N104*(INDEX(Prijzen!$C$15:$P$70,MATCH($P104,Prijzen!$B$15:$B$70,0),MATCH($O104,Prijzen!$C$14:$O$14,0)))*0.58),IF($S104="M liner",($N104*(INDEX(Prijzen!$C$2:$P$11,MATCH($P104,Prijzen!$B$2:$B$11,0),MATCH($O104,Prijzen!$C$1:$P$1,0))))*0.58,0)),$N104*INDEX(Prijzen!$C$73:$P$94,MATCH($P104,Prijzen!$B$73:$B$94,0),MATCH($O104,Prijzen!$C$72:$P$72,0))),"")</f>
        <v/>
      </c>
      <c r="C104" s="260" t="inlineStr">
        <is>
          <t>EUR</t>
        </is>
      </c>
      <c r="D104" s="270" t="n">
        <v>1</v>
      </c>
      <c r="E104" s="305" t="n">
        <v>1</v>
      </c>
      <c r="F104" s="302">
        <f>IFERROR(B104*D104*E104,"")</f>
        <v/>
      </c>
      <c r="G104" s="244" t="n"/>
      <c r="I104" s="306" t="n"/>
      <c r="J104" s="306" t="n"/>
      <c r="K104" s="306" t="n"/>
      <c r="L104" s="306" t="n"/>
      <c r="M104" s="306" t="n"/>
      <c r="N104" s="307" t="n"/>
      <c r="O104" s="306" t="n"/>
      <c r="P104" s="306" t="n"/>
      <c r="Q104" s="306" t="n"/>
      <c r="R104" s="306" t="n"/>
      <c r="S104" s="306" t="n"/>
      <c r="U104" s="308" t="n"/>
    </row>
    <row r="105" hidden="1">
      <c r="A105" s="244">
        <f>IF(J105="","",_xlfn.CONCAT("Kous "&amp;I105&amp;" DN"&amp;P105&amp;" - "&amp;O105&amp;"mm - "&amp;N105&amp;"m - ("&amp;J105&amp;")"))</f>
        <v/>
      </c>
      <c r="B105" s="305">
        <f>IFERROR(IF($K105="UV",IF($S105="S+ liner",($N105*(INDEX(Prijzen!$C$15:$P$70,MATCH($P105,Prijzen!$B$15:$B$70,0),MATCH($O105,Prijzen!$C$14:$O$14,0)))*0.58),IF($S105="M liner",($N105*(INDEX(Prijzen!$C$2:$P$11,MATCH($P105,Prijzen!$B$2:$B$11,0),MATCH($O105,Prijzen!$C$1:$P$1,0))))*0.58,0)),$N105*INDEX(Prijzen!$C$73:$P$94,MATCH($P105,Prijzen!$B$73:$B$94,0),MATCH($O105,Prijzen!$C$72:$P$72,0))),"")</f>
        <v/>
      </c>
      <c r="C105" s="260" t="inlineStr">
        <is>
          <t>EUR</t>
        </is>
      </c>
      <c r="D105" s="270" t="n">
        <v>1</v>
      </c>
      <c r="E105" s="305" t="n">
        <v>1</v>
      </c>
      <c r="F105" s="302">
        <f>IFERROR(B105*D105*E105,"")</f>
        <v/>
      </c>
      <c r="G105" s="244" t="n"/>
      <c r="I105" s="306" t="n"/>
      <c r="J105" s="306" t="n"/>
      <c r="K105" s="306" t="n"/>
      <c r="L105" s="306" t="n"/>
      <c r="M105" s="306" t="n"/>
      <c r="N105" s="307" t="n"/>
      <c r="O105" s="306" t="n"/>
      <c r="P105" s="306" t="n"/>
      <c r="Q105" s="306" t="n"/>
      <c r="R105" s="306" t="n"/>
      <c r="S105" s="306" t="n"/>
      <c r="U105" s="308" t="n"/>
    </row>
    <row r="106" hidden="1">
      <c r="A106" s="244">
        <f>IF(J106="","",_xlfn.CONCAT("Kous "&amp;I106&amp;" DN"&amp;P106&amp;" - "&amp;O106&amp;"mm - "&amp;N106&amp;"m - ("&amp;J106&amp;")"))</f>
        <v/>
      </c>
      <c r="B106" s="305">
        <f>IFERROR(IF($K106="UV",IF($S106="S+ liner",($N106*(INDEX(Prijzen!$C$15:$P$70,MATCH($P106,Prijzen!$B$15:$B$70,0),MATCH($O106,Prijzen!$C$14:$O$14,0)))*0.58),IF($S106="M liner",($N106*(INDEX(Prijzen!$C$2:$P$11,MATCH($P106,Prijzen!$B$2:$B$11,0),MATCH($O106,Prijzen!$C$1:$P$1,0))))*0.58,0)),$N106*INDEX(Prijzen!$C$73:$P$94,MATCH($P106,Prijzen!$B$73:$B$94,0),MATCH($O106,Prijzen!$C$72:$P$72,0))),"")</f>
        <v/>
      </c>
      <c r="C106" s="260" t="inlineStr">
        <is>
          <t>EUR</t>
        </is>
      </c>
      <c r="D106" s="270" t="n">
        <v>1</v>
      </c>
      <c r="E106" s="305" t="n">
        <v>1</v>
      </c>
      <c r="F106" s="302">
        <f>IFERROR(B106*D106*E106,"")</f>
        <v/>
      </c>
      <c r="G106" s="244" t="n"/>
      <c r="I106" s="306" t="n"/>
      <c r="J106" s="306" t="n"/>
      <c r="K106" s="306" t="n"/>
      <c r="L106" s="306" t="n"/>
      <c r="M106" s="306" t="n"/>
      <c r="N106" s="307" t="n"/>
      <c r="O106" s="306" t="n"/>
      <c r="P106" s="306" t="n"/>
      <c r="Q106" s="306" t="n"/>
      <c r="R106" s="306" t="n"/>
      <c r="S106" s="306" t="n"/>
      <c r="U106" s="308" t="n"/>
    </row>
    <row r="107" hidden="1">
      <c r="A107" s="244">
        <f>IF(J107="","",_xlfn.CONCAT("Kous "&amp;I107&amp;" DN"&amp;P107&amp;" - "&amp;O107&amp;"mm - "&amp;N107&amp;"m - ("&amp;J107&amp;")"))</f>
        <v/>
      </c>
      <c r="B107" s="305">
        <f>IFERROR(IF($K107="UV",IF($S107="S+ liner",($N107*(INDEX(Prijzen!$C$15:$P$70,MATCH($P107,Prijzen!$B$15:$B$70,0),MATCH($O107,Prijzen!$C$14:$O$14,0)))*0.58),IF($S107="M liner",($N107*(INDEX(Prijzen!$C$2:$P$11,MATCH($P107,Prijzen!$B$2:$B$11,0),MATCH($O107,Prijzen!$C$1:$P$1,0))))*0.58,0)),$N107*INDEX(Prijzen!$C$73:$P$94,MATCH($P107,Prijzen!$B$73:$B$94,0),MATCH($O107,Prijzen!$C$72:$P$72,0))),"")</f>
        <v/>
      </c>
      <c r="C107" s="260" t="inlineStr">
        <is>
          <t>EUR</t>
        </is>
      </c>
      <c r="D107" s="270" t="n">
        <v>1</v>
      </c>
      <c r="E107" s="305" t="n">
        <v>1</v>
      </c>
      <c r="F107" s="302">
        <f>IFERROR(B107*D107*E107,"")</f>
        <v/>
      </c>
      <c r="G107" s="244" t="n"/>
      <c r="I107" s="306" t="n"/>
      <c r="J107" s="306" t="n"/>
      <c r="K107" s="306" t="n"/>
      <c r="L107" s="306" t="n"/>
      <c r="M107" s="306" t="n"/>
      <c r="N107" s="307" t="n"/>
      <c r="O107" s="306" t="n"/>
      <c r="P107" s="306" t="n"/>
      <c r="Q107" s="306" t="n"/>
      <c r="R107" s="306" t="n"/>
      <c r="S107" s="306" t="n"/>
      <c r="U107" s="308" t="n"/>
    </row>
    <row r="108" hidden="1">
      <c r="A108" s="244">
        <f>IF(J108="","",_xlfn.CONCAT("Kous "&amp;I108&amp;" DN"&amp;P108&amp;" - "&amp;O108&amp;"mm - "&amp;N108&amp;"m - ("&amp;J108&amp;")"))</f>
        <v/>
      </c>
      <c r="B108" s="305">
        <f>IFERROR(IF($K108="UV",IF($S108="S+ liner",($N108*(INDEX(Prijzen!$C$15:$P$70,MATCH($P108,Prijzen!$B$15:$B$70,0),MATCH($O108,Prijzen!$C$14:$O$14,0)))*0.58),IF($S108="M liner",($N108*(INDEX(Prijzen!$C$2:$P$11,MATCH($P108,Prijzen!$B$2:$B$11,0),MATCH($O108,Prijzen!$C$1:$P$1,0))))*0.58,0)),$N108*INDEX(Prijzen!$C$73:$P$94,MATCH($P108,Prijzen!$B$73:$B$94,0),MATCH($O108,Prijzen!$C$72:$P$72,0))),"")</f>
        <v/>
      </c>
      <c r="C108" s="260" t="inlineStr">
        <is>
          <t>EUR</t>
        </is>
      </c>
      <c r="D108" s="270" t="n">
        <v>1</v>
      </c>
      <c r="E108" s="305" t="n">
        <v>1</v>
      </c>
      <c r="F108" s="302">
        <f>IFERROR(B108*D108*E108,"")</f>
        <v/>
      </c>
      <c r="G108" s="244" t="n"/>
      <c r="I108" s="306" t="n"/>
      <c r="J108" s="306" t="n"/>
      <c r="K108" s="306" t="n"/>
      <c r="L108" s="306" t="n"/>
      <c r="M108" s="306" t="n"/>
      <c r="N108" s="307" t="n"/>
      <c r="O108" s="306" t="n"/>
      <c r="P108" s="306" t="n"/>
      <c r="Q108" s="306" t="n"/>
      <c r="R108" s="306" t="n"/>
      <c r="S108" s="306" t="n"/>
      <c r="U108" s="308" t="n"/>
    </row>
    <row r="109" hidden="1">
      <c r="A109" s="244">
        <f>IF(J109="","",_xlfn.CONCAT("Kous "&amp;I109&amp;" DN"&amp;P109&amp;" - "&amp;O109&amp;"mm - "&amp;N109&amp;"m - ("&amp;J109&amp;")"))</f>
        <v/>
      </c>
      <c r="B109" s="305">
        <f>IFERROR(IF($K109="UV",IF($S109="S+ liner",($N109*(INDEX(Prijzen!$C$15:$P$70,MATCH($P109,Prijzen!$B$15:$B$70,0),MATCH($O109,Prijzen!$C$14:$O$14,0)))*0.58),IF($S109="M liner",($N109*(INDEX(Prijzen!$C$2:$P$11,MATCH($P109,Prijzen!$B$2:$B$11,0),MATCH($O109,Prijzen!$C$1:$P$1,0))))*0.58,0)),$N109*INDEX(Prijzen!$C$73:$P$94,MATCH($P109,Prijzen!$B$73:$B$94,0),MATCH($O109,Prijzen!$C$72:$P$72,0))),"")</f>
        <v/>
      </c>
      <c r="C109" s="260" t="inlineStr">
        <is>
          <t>EUR</t>
        </is>
      </c>
      <c r="D109" s="270" t="n">
        <v>1</v>
      </c>
      <c r="E109" s="305" t="n">
        <v>1</v>
      </c>
      <c r="F109" s="302">
        <f>IFERROR(B109*D109*E109,"")</f>
        <v/>
      </c>
      <c r="G109" s="244" t="n"/>
      <c r="I109" s="306" t="n"/>
      <c r="J109" s="306" t="n"/>
      <c r="K109" s="306" t="n"/>
      <c r="L109" s="306" t="n"/>
      <c r="M109" s="306" t="n"/>
      <c r="N109" s="307" t="n"/>
      <c r="O109" s="306" t="n"/>
      <c r="P109" s="306" t="n"/>
      <c r="Q109" s="306" t="n"/>
      <c r="R109" s="306" t="n"/>
      <c r="S109" s="306" t="n"/>
      <c r="U109" s="308" t="n"/>
    </row>
    <row r="110" hidden="1">
      <c r="A110" s="244">
        <f>IF(J110="","",_xlfn.CONCAT("Kous "&amp;I110&amp;" DN"&amp;P110&amp;" - "&amp;O110&amp;"mm - "&amp;N110&amp;"m - ("&amp;J110&amp;")"))</f>
        <v/>
      </c>
      <c r="B110" s="305">
        <f>IFERROR(IF($K110="UV",IF($S110="S+ liner",($N110*(INDEX(Prijzen!$C$15:$P$70,MATCH($P110,Prijzen!$B$15:$B$70,0),MATCH($O110,Prijzen!$C$14:$O$14,0)))*0.58),IF($S110="M liner",($N110*(INDEX(Prijzen!$C$2:$P$11,MATCH($P110,Prijzen!$B$2:$B$11,0),MATCH($O110,Prijzen!$C$1:$P$1,0))))*0.58,0)),$N110*INDEX(Prijzen!$C$73:$P$94,MATCH($P110,Prijzen!$B$73:$B$94,0),MATCH($O110,Prijzen!$C$72:$P$72,0))),"")</f>
        <v/>
      </c>
      <c r="C110" s="260" t="inlineStr">
        <is>
          <t>EUR</t>
        </is>
      </c>
      <c r="D110" s="270" t="n">
        <v>1</v>
      </c>
      <c r="E110" s="305" t="n">
        <v>1</v>
      </c>
      <c r="F110" s="302">
        <f>IFERROR(B110*D110*E110,"")</f>
        <v/>
      </c>
      <c r="G110" s="244" t="n"/>
      <c r="I110" s="306" t="n"/>
      <c r="J110" s="306" t="n"/>
      <c r="K110" s="306" t="n"/>
      <c r="L110" s="306" t="n"/>
      <c r="M110" s="306" t="n"/>
      <c r="N110" s="307" t="n"/>
      <c r="O110" s="306" t="n"/>
      <c r="P110" s="306" t="n"/>
      <c r="Q110" s="306" t="n"/>
      <c r="R110" s="306" t="n"/>
      <c r="S110" s="306" t="n"/>
      <c r="U110" s="308" t="n"/>
    </row>
    <row r="111" hidden="1">
      <c r="A111" s="244">
        <f>IF(J111="","",_xlfn.CONCAT("Kous "&amp;I111&amp;" DN"&amp;P111&amp;" - "&amp;O111&amp;"mm - "&amp;N111&amp;"m - ("&amp;J111&amp;")"))</f>
        <v/>
      </c>
      <c r="B111" s="305">
        <f>IFERROR(IF($K111="UV",IF($S111="S+ liner",($N111*(INDEX(Prijzen!$C$15:$P$70,MATCH($P111,Prijzen!$B$15:$B$70,0),MATCH($O111,Prijzen!$C$14:$O$14,0)))*0.58),IF($S111="M liner",($N111*(INDEX(Prijzen!$C$2:$P$11,MATCH($P111,Prijzen!$B$2:$B$11,0),MATCH($O111,Prijzen!$C$1:$P$1,0))))*0.58,0)),$N111*INDEX(Prijzen!$C$73:$P$94,MATCH($P111,Prijzen!$B$73:$B$94,0),MATCH($O111,Prijzen!$C$72:$P$72,0))),"")</f>
        <v/>
      </c>
      <c r="C111" s="260" t="inlineStr">
        <is>
          <t>EUR</t>
        </is>
      </c>
      <c r="D111" s="270" t="n">
        <v>1</v>
      </c>
      <c r="E111" s="305" t="n">
        <v>1</v>
      </c>
      <c r="F111" s="302">
        <f>IFERROR(B111*D111*E111,"")</f>
        <v/>
      </c>
      <c r="G111" s="244" t="n"/>
      <c r="I111" s="306" t="n"/>
      <c r="J111" s="306" t="n"/>
      <c r="K111" s="306" t="n"/>
      <c r="L111" s="306" t="n"/>
      <c r="M111" s="306" t="n"/>
      <c r="N111" s="307" t="n"/>
      <c r="O111" s="306" t="n"/>
      <c r="P111" s="306" t="n"/>
      <c r="Q111" s="306" t="n"/>
      <c r="R111" s="306" t="n"/>
      <c r="S111" s="306" t="n"/>
      <c r="U111" s="308" t="n"/>
    </row>
    <row r="112" hidden="1">
      <c r="A112" s="244">
        <f>IF(J112="","",_xlfn.CONCAT("Kous "&amp;I112&amp;" DN"&amp;P112&amp;" - "&amp;O112&amp;"mm - "&amp;N112&amp;"m - ("&amp;J112&amp;")"))</f>
        <v/>
      </c>
      <c r="B112" s="305">
        <f>IFERROR(IF($K112="UV",IF($S112="S+ liner",($N112*(INDEX(Prijzen!$C$15:$P$70,MATCH($P112,Prijzen!$B$15:$B$70,0),MATCH($O112,Prijzen!$C$14:$O$14,0)))*0.58),IF($S112="M liner",($N112*(INDEX(Prijzen!$C$2:$P$11,MATCH($P112,Prijzen!$B$2:$B$11,0),MATCH($O112,Prijzen!$C$1:$P$1,0))))*0.58,0)),$N112*INDEX(Prijzen!$C$73:$P$94,MATCH($P112,Prijzen!$B$73:$B$94,0),MATCH($O112,Prijzen!$C$72:$P$72,0))),"")</f>
        <v/>
      </c>
      <c r="C112" s="260" t="inlineStr">
        <is>
          <t>EUR</t>
        </is>
      </c>
      <c r="D112" s="270" t="n">
        <v>1</v>
      </c>
      <c r="E112" s="305" t="n">
        <v>1</v>
      </c>
      <c r="F112" s="302">
        <f>IFERROR(B112*D112*E112,"")</f>
        <v/>
      </c>
      <c r="G112" s="244" t="n"/>
      <c r="I112" s="306" t="n"/>
      <c r="J112" s="306" t="n"/>
      <c r="K112" s="306" t="n"/>
      <c r="L112" s="306" t="n"/>
      <c r="M112" s="306" t="n"/>
      <c r="N112" s="307" t="n"/>
      <c r="O112" s="306" t="n"/>
      <c r="P112" s="306" t="n"/>
      <c r="Q112" s="306" t="n"/>
      <c r="R112" s="306" t="n"/>
      <c r="S112" s="306" t="n"/>
      <c r="U112" s="308" t="n"/>
    </row>
    <row r="113" hidden="1">
      <c r="A113" s="244">
        <f>IF(J113="","",_xlfn.CONCAT("Kous "&amp;I113&amp;" DN"&amp;P113&amp;" - "&amp;O113&amp;"mm - "&amp;N113&amp;"m - ("&amp;J113&amp;")"))</f>
        <v/>
      </c>
      <c r="B113" s="305">
        <f>IFERROR(IF($K113="UV",IF($S113="S+ liner",($N113*(INDEX(Prijzen!$C$15:$P$70,MATCH($P113,Prijzen!$B$15:$B$70,0),MATCH($O113,Prijzen!$C$14:$O$14,0)))*0.58),IF($S113="M liner",($N113*(INDEX(Prijzen!$C$2:$P$11,MATCH($P113,Prijzen!$B$2:$B$11,0),MATCH($O113,Prijzen!$C$1:$P$1,0))))*0.58,0)),$N113*INDEX(Prijzen!$C$73:$P$94,MATCH($P113,Prijzen!$B$73:$B$94,0),MATCH($O113,Prijzen!$C$72:$P$72,0))),"")</f>
        <v/>
      </c>
      <c r="C113" s="260" t="inlineStr">
        <is>
          <t>EUR</t>
        </is>
      </c>
      <c r="D113" s="270" t="n">
        <v>1</v>
      </c>
      <c r="E113" s="305" t="n">
        <v>1</v>
      </c>
      <c r="F113" s="302">
        <f>IFERROR(B113*D113*E113,"")</f>
        <v/>
      </c>
      <c r="G113" s="244" t="n"/>
      <c r="I113" s="306" t="n"/>
      <c r="J113" s="306" t="n"/>
      <c r="K113" s="306" t="n"/>
      <c r="L113" s="306" t="n"/>
      <c r="M113" s="306" t="n"/>
      <c r="N113" s="307" t="n"/>
      <c r="O113" s="306" t="n"/>
      <c r="P113" s="306" t="n"/>
      <c r="Q113" s="306" t="n"/>
      <c r="R113" s="306" t="n"/>
      <c r="S113" s="306" t="n"/>
      <c r="U113" s="308" t="n"/>
    </row>
    <row r="114" hidden="1">
      <c r="A114" s="244">
        <f>IF(J114="","",_xlfn.CONCAT("Kous "&amp;I114&amp;" DN"&amp;P114&amp;" - "&amp;O114&amp;"mm - "&amp;N114&amp;"m - ("&amp;J114&amp;")"))</f>
        <v/>
      </c>
      <c r="B114" s="305">
        <f>IFERROR(IF($K114="UV",IF($S114="S+ liner",($N114*(INDEX(Prijzen!$C$15:$P$70,MATCH($P114,Prijzen!$B$15:$B$70,0),MATCH($O114,Prijzen!$C$14:$O$14,0)))*0.58),IF($S114="M liner",($N114*(INDEX(Prijzen!$C$2:$P$11,MATCH($P114,Prijzen!$B$2:$B$11,0),MATCH($O114,Prijzen!$C$1:$P$1,0))))*0.58,0)),$N114*INDEX(Prijzen!$C$73:$P$94,MATCH($P114,Prijzen!$B$73:$B$94,0),MATCH($O114,Prijzen!$C$72:$P$72,0))),"")</f>
        <v/>
      </c>
      <c r="C114" s="260" t="inlineStr">
        <is>
          <t>EUR</t>
        </is>
      </c>
      <c r="D114" s="270" t="n">
        <v>1</v>
      </c>
      <c r="E114" s="305" t="n">
        <v>1</v>
      </c>
      <c r="F114" s="302">
        <f>IFERROR(B114*D114*E114,"")</f>
        <v/>
      </c>
      <c r="G114" s="244" t="n"/>
      <c r="I114" s="306" t="n"/>
      <c r="J114" s="306" t="n"/>
      <c r="K114" s="306" t="n"/>
      <c r="L114" s="306" t="n"/>
      <c r="M114" s="306" t="n"/>
      <c r="N114" s="307" t="n"/>
      <c r="O114" s="306" t="n"/>
      <c r="P114" s="306" t="n"/>
      <c r="Q114" s="306" t="n"/>
      <c r="R114" s="306" t="n"/>
      <c r="S114" s="306" t="n"/>
      <c r="U114" s="308" t="n"/>
    </row>
    <row r="115" hidden="1">
      <c r="A115" s="244">
        <f>IF(J115="","",_xlfn.CONCAT("Kous "&amp;I115&amp;" DN"&amp;P115&amp;" - "&amp;O115&amp;"mm - "&amp;N115&amp;"m - ("&amp;J115&amp;")"))</f>
        <v/>
      </c>
      <c r="B115" s="305">
        <f>IFERROR(IF($K115="UV",IF($S115="S+ liner",($N115*(INDEX(Prijzen!$C$15:$P$70,MATCH($P115,Prijzen!$B$15:$B$70,0),MATCH($O115,Prijzen!$C$14:$O$14,0)))*0.58),IF($S115="M liner",($N115*(INDEX(Prijzen!$C$2:$P$11,MATCH($P115,Prijzen!$B$2:$B$11,0),MATCH($O115,Prijzen!$C$1:$P$1,0))))*0.58,0)),$N115*INDEX(Prijzen!$C$73:$P$94,MATCH($P115,Prijzen!$B$73:$B$94,0),MATCH($O115,Prijzen!$C$72:$P$72,0))),"")</f>
        <v/>
      </c>
      <c r="C115" s="260" t="inlineStr">
        <is>
          <t>EUR</t>
        </is>
      </c>
      <c r="D115" s="270" t="n">
        <v>1</v>
      </c>
      <c r="E115" s="305" t="n">
        <v>1</v>
      </c>
      <c r="F115" s="302">
        <f>IFERROR(B115*D115*E115,"")</f>
        <v/>
      </c>
      <c r="G115" s="244" t="n"/>
      <c r="I115" s="306" t="n"/>
      <c r="J115" s="306" t="n"/>
      <c r="K115" s="306" t="n"/>
      <c r="L115" s="306" t="n"/>
      <c r="M115" s="306" t="n"/>
      <c r="N115" s="307" t="n"/>
      <c r="O115" s="306" t="n"/>
      <c r="P115" s="306" t="n"/>
      <c r="Q115" s="306" t="n"/>
      <c r="R115" s="306" t="n"/>
      <c r="S115" s="306" t="n"/>
      <c r="U115" s="308" t="n"/>
    </row>
    <row r="116" hidden="1">
      <c r="A116" s="244">
        <f>IF(J116="","",_xlfn.CONCAT("Kous "&amp;I116&amp;" DN"&amp;P116&amp;" - "&amp;O116&amp;"mm - "&amp;N116&amp;"m - ("&amp;J116&amp;")"))</f>
        <v/>
      </c>
      <c r="B116" s="305">
        <f>IFERROR(IF($K116="UV",IF($S116="S+ liner",($N116*(INDEX(Prijzen!$C$15:$P$70,MATCH($P116,Prijzen!$B$15:$B$70,0),MATCH($O116,Prijzen!$C$14:$O$14,0)))*0.58),IF($S116="M liner",($N116*(INDEX(Prijzen!$C$2:$P$11,MATCH($P116,Prijzen!$B$2:$B$11,0),MATCH($O116,Prijzen!$C$1:$P$1,0))))*0.58,0)),$N116*INDEX(Prijzen!$C$73:$P$94,MATCH($P116,Prijzen!$B$73:$B$94,0),MATCH($O116,Prijzen!$C$72:$P$72,0))),"")</f>
        <v/>
      </c>
      <c r="C116" s="260" t="inlineStr">
        <is>
          <t>EUR</t>
        </is>
      </c>
      <c r="D116" s="270" t="n">
        <v>1</v>
      </c>
      <c r="E116" s="305" t="n">
        <v>1</v>
      </c>
      <c r="F116" s="302">
        <f>IFERROR(B116*D116*E116,"")</f>
        <v/>
      </c>
      <c r="G116" s="244" t="n"/>
      <c r="I116" s="306" t="n"/>
      <c r="J116" s="306" t="n"/>
      <c r="K116" s="306" t="n"/>
      <c r="L116" s="306" t="n"/>
      <c r="M116" s="306" t="n"/>
      <c r="N116" s="307" t="n"/>
      <c r="O116" s="306" t="n"/>
      <c r="P116" s="306" t="n"/>
      <c r="Q116" s="306" t="n"/>
      <c r="R116" s="306" t="n"/>
      <c r="S116" s="306" t="n"/>
      <c r="U116" s="308" t="n"/>
    </row>
    <row r="117" hidden="1">
      <c r="A117" s="244">
        <f>IF(J117="","",_xlfn.CONCAT("Kous "&amp;I117&amp;" DN"&amp;P117&amp;" - "&amp;O117&amp;"mm - "&amp;N117&amp;"m - ("&amp;J117&amp;")"))</f>
        <v/>
      </c>
      <c r="B117" s="305">
        <f>IFERROR(IF($K117="UV",IF($S117="S+ liner",($N117*(INDEX(Prijzen!$C$15:$P$70,MATCH($P117,Prijzen!$B$15:$B$70,0),MATCH($O117,Prijzen!$C$14:$O$14,0)))*0.58),IF($S117="M liner",($N117*(INDEX(Prijzen!$C$2:$P$11,MATCH($P117,Prijzen!$B$2:$B$11,0),MATCH($O117,Prijzen!$C$1:$P$1,0))))*0.58,0)),$N117*INDEX(Prijzen!$C$73:$P$94,MATCH($P117,Prijzen!$B$73:$B$94,0),MATCH($O117,Prijzen!$C$72:$P$72,0))),"")</f>
        <v/>
      </c>
      <c r="C117" s="260" t="inlineStr">
        <is>
          <t>EUR</t>
        </is>
      </c>
      <c r="D117" s="270" t="n">
        <v>1</v>
      </c>
      <c r="E117" s="305" t="n">
        <v>1</v>
      </c>
      <c r="F117" s="302">
        <f>IFERROR(B117*D117*E117,"")</f>
        <v/>
      </c>
      <c r="G117" s="244" t="n"/>
      <c r="I117" s="306" t="n"/>
      <c r="J117" s="306" t="n"/>
      <c r="K117" s="306" t="n"/>
      <c r="L117" s="306" t="n"/>
      <c r="M117" s="306" t="n"/>
      <c r="N117" s="307" t="n"/>
      <c r="O117" s="306" t="n"/>
      <c r="P117" s="306" t="n"/>
      <c r="Q117" s="306" t="n"/>
      <c r="R117" s="306" t="n"/>
      <c r="S117" s="306" t="n"/>
      <c r="U117" s="308" t="n"/>
    </row>
    <row r="118" hidden="1">
      <c r="A118" s="244">
        <f>IF(J118="","",_xlfn.CONCAT("Kous "&amp;I118&amp;" DN"&amp;P118&amp;" - "&amp;O118&amp;"mm - "&amp;N118&amp;"m - ("&amp;J118&amp;")"))</f>
        <v/>
      </c>
      <c r="B118" s="305">
        <f>IFERROR(IF($K118="UV",IF($S118="S+ liner",($N118*(INDEX(Prijzen!$C$15:$P$70,MATCH($P118,Prijzen!$B$15:$B$70,0),MATCH($O118,Prijzen!$C$14:$O$14,0)))*0.58),IF($S118="M liner",($N118*(INDEX(Prijzen!$C$2:$P$11,MATCH($P118,Prijzen!$B$2:$B$11,0),MATCH($O118,Prijzen!$C$1:$P$1,0))))*0.58,0)),$N118*INDEX(Prijzen!$C$73:$P$94,MATCH($P118,Prijzen!$B$73:$B$94,0),MATCH($O118,Prijzen!$C$72:$P$72,0))),"")</f>
        <v/>
      </c>
      <c r="C118" s="260" t="inlineStr">
        <is>
          <t>EUR</t>
        </is>
      </c>
      <c r="D118" s="270" t="n">
        <v>1</v>
      </c>
      <c r="E118" s="305" t="n">
        <v>1</v>
      </c>
      <c r="F118" s="302">
        <f>IFERROR(B118*D118*E118,"")</f>
        <v/>
      </c>
      <c r="G118" s="244" t="n"/>
      <c r="I118" s="306" t="n"/>
      <c r="J118" s="306" t="n"/>
      <c r="K118" s="306" t="n"/>
      <c r="L118" s="306" t="n"/>
      <c r="M118" s="306" t="n"/>
      <c r="N118" s="307" t="n"/>
      <c r="O118" s="306" t="n"/>
      <c r="P118" s="306" t="n"/>
      <c r="Q118" s="306" t="n"/>
      <c r="R118" s="306" t="n"/>
      <c r="S118" s="306" t="n"/>
      <c r="U118" s="308" t="n"/>
    </row>
    <row r="119" hidden="1">
      <c r="A119" s="244">
        <f>IF(J119="","",_xlfn.CONCAT("Kous "&amp;I119&amp;" DN"&amp;P119&amp;" - "&amp;O119&amp;"mm - "&amp;N119&amp;"m - ("&amp;J119&amp;")"))</f>
        <v/>
      </c>
      <c r="B119" s="305">
        <f>IFERROR(IF($K119="UV",IF($S119="S+ liner",($N119*(INDEX(Prijzen!$C$15:$P$70,MATCH($P119,Prijzen!$B$15:$B$70,0),MATCH($O119,Prijzen!$C$14:$O$14,0)))*0.58),IF($S119="M liner",($N119*(INDEX(Prijzen!$C$2:$P$11,MATCH($P119,Prijzen!$B$2:$B$11,0),MATCH($O119,Prijzen!$C$1:$P$1,0))))*0.58,0)),$N119*INDEX(Prijzen!$C$73:$P$94,MATCH($P119,Prijzen!$B$73:$B$94,0),MATCH($O119,Prijzen!$C$72:$P$72,0))),"")</f>
        <v/>
      </c>
      <c r="C119" s="260" t="inlineStr">
        <is>
          <t>EUR</t>
        </is>
      </c>
      <c r="D119" s="270" t="n">
        <v>1</v>
      </c>
      <c r="E119" s="305" t="n">
        <v>1</v>
      </c>
      <c r="F119" s="302">
        <f>IFERROR(B119*D119*E119,"")</f>
        <v/>
      </c>
      <c r="G119" s="244" t="n"/>
      <c r="I119" s="306" t="n"/>
      <c r="J119" s="306" t="n"/>
      <c r="K119" s="306" t="n"/>
      <c r="L119" s="306" t="n"/>
      <c r="M119" s="306" t="n"/>
      <c r="N119" s="307" t="n"/>
      <c r="O119" s="306" t="n"/>
      <c r="P119" s="306" t="n"/>
      <c r="Q119" s="306" t="n"/>
      <c r="R119" s="306" t="n"/>
      <c r="S119" s="306" t="n"/>
      <c r="U119" s="308" t="n"/>
    </row>
    <row r="120" hidden="1">
      <c r="A120" s="244">
        <f>IF(J120="","",_xlfn.CONCAT("Kous "&amp;I120&amp;" DN"&amp;P120&amp;" - "&amp;O120&amp;"mm - "&amp;N120&amp;"m - ("&amp;J120&amp;")"))</f>
        <v/>
      </c>
      <c r="B120" s="305">
        <f>IFERROR(IF($K120="UV",IF($S120="S+ liner",($N120*(INDEX(Prijzen!$C$15:$P$70,MATCH($P120,Prijzen!$B$15:$B$70,0),MATCH($O120,Prijzen!$C$14:$O$14,0)))*0.58),IF($S120="M liner",($N120*(INDEX(Prijzen!$C$2:$P$11,MATCH($P120,Prijzen!$B$2:$B$11,0),MATCH($O120,Prijzen!$C$1:$P$1,0))))*0.58,0)),$N120*INDEX(Prijzen!$C$73:$P$94,MATCH($P120,Prijzen!$B$73:$B$94,0),MATCH($O120,Prijzen!$C$72:$P$72,0))),"")</f>
        <v/>
      </c>
      <c r="C120" s="260" t="inlineStr">
        <is>
          <t>EUR</t>
        </is>
      </c>
      <c r="D120" s="270" t="n">
        <v>1</v>
      </c>
      <c r="E120" s="305" t="n">
        <v>1</v>
      </c>
      <c r="F120" s="302">
        <f>IFERROR(B120*D120*E120,"")</f>
        <v/>
      </c>
      <c r="G120" s="244" t="n"/>
      <c r="I120" s="306" t="n"/>
      <c r="J120" s="306" t="n"/>
      <c r="K120" s="306" t="n"/>
      <c r="L120" s="306" t="n"/>
      <c r="M120" s="306" t="n"/>
      <c r="N120" s="307" t="n"/>
      <c r="O120" s="306" t="n"/>
      <c r="P120" s="306" t="n"/>
      <c r="Q120" s="306" t="n"/>
      <c r="R120" s="306" t="n"/>
      <c r="S120" s="306" t="n"/>
      <c r="U120" s="308" t="n"/>
    </row>
    <row r="121" hidden="1">
      <c r="A121" s="244">
        <f>IF(J121="","",_xlfn.CONCAT("Kous "&amp;I121&amp;" DN"&amp;P121&amp;" - "&amp;O121&amp;"mm - "&amp;N121&amp;"m - ("&amp;J121&amp;")"))</f>
        <v/>
      </c>
      <c r="B121" s="305">
        <f>IFERROR(IF($K121="UV",IF($S121="S+ liner",($N121*(INDEX(Prijzen!$C$15:$P$70,MATCH($P121,Prijzen!$B$15:$B$70,0),MATCH($O121,Prijzen!$C$14:$O$14,0)))*0.58),IF($S121="M liner",($N121*(INDEX(Prijzen!$C$2:$P$11,MATCH($P121,Prijzen!$B$2:$B$11,0),MATCH($O121,Prijzen!$C$1:$P$1,0))))*0.58,0)),$N121*INDEX(Prijzen!$C$73:$P$94,MATCH($P121,Prijzen!$B$73:$B$94,0),MATCH($O121,Prijzen!$C$72:$P$72,0))),"")</f>
        <v/>
      </c>
      <c r="C121" s="260" t="inlineStr">
        <is>
          <t>EUR</t>
        </is>
      </c>
      <c r="D121" s="270" t="n">
        <v>1</v>
      </c>
      <c r="E121" s="305" t="n">
        <v>1</v>
      </c>
      <c r="F121" s="302">
        <f>IFERROR(B121*D121*E121,"")</f>
        <v/>
      </c>
      <c r="G121" s="244" t="n"/>
      <c r="I121" s="306" t="n"/>
      <c r="J121" s="306" t="n"/>
      <c r="K121" s="306" t="n"/>
      <c r="L121" s="306" t="n"/>
      <c r="M121" s="306" t="n"/>
      <c r="N121" s="307" t="n"/>
      <c r="O121" s="306" t="n"/>
      <c r="P121" s="306" t="n"/>
      <c r="Q121" s="306" t="n"/>
      <c r="R121" s="306" t="n"/>
      <c r="S121" s="306" t="n"/>
      <c r="U121" s="308" t="n"/>
    </row>
    <row r="122" hidden="1">
      <c r="A122" s="244">
        <f>IF(J122="","",_xlfn.CONCAT("Kous "&amp;I122&amp;" DN"&amp;P122&amp;" - "&amp;O122&amp;"mm - "&amp;N122&amp;"m - ("&amp;J122&amp;")"))</f>
        <v/>
      </c>
      <c r="B122" s="305">
        <f>IFERROR(IF($K122="UV",IF($S122="S+ liner",($N122*(INDEX(Prijzen!$C$15:$P$70,MATCH($P122,Prijzen!$B$15:$B$70,0),MATCH($O122,Prijzen!$C$14:$O$14,0)))*0.58),IF($S122="M liner",($N122*(INDEX(Prijzen!$C$2:$P$11,MATCH($P122,Prijzen!$B$2:$B$11,0),MATCH($O122,Prijzen!$C$1:$P$1,0))))*0.58,0)),$N122*INDEX(Prijzen!$C$73:$P$94,MATCH($P122,Prijzen!$B$73:$B$94,0),MATCH($O122,Prijzen!$C$72:$P$72,0))),"")</f>
        <v/>
      </c>
      <c r="C122" s="260" t="inlineStr">
        <is>
          <t>EUR</t>
        </is>
      </c>
      <c r="D122" s="270" t="n">
        <v>1</v>
      </c>
      <c r="E122" s="305" t="n">
        <v>1</v>
      </c>
      <c r="F122" s="302">
        <f>IFERROR(B122*D122*E122,"")</f>
        <v/>
      </c>
      <c r="G122" s="244" t="n"/>
      <c r="I122" s="306" t="n"/>
      <c r="J122" s="306" t="n"/>
      <c r="K122" s="306" t="n"/>
      <c r="L122" s="306" t="n"/>
      <c r="M122" s="306" t="n"/>
      <c r="N122" s="307" t="n"/>
      <c r="O122" s="306" t="n"/>
      <c r="P122" s="306" t="n"/>
      <c r="Q122" s="306" t="n"/>
      <c r="R122" s="306" t="n"/>
      <c r="S122" s="306" t="n"/>
      <c r="U122" s="308" t="n"/>
    </row>
    <row r="123" hidden="1">
      <c r="A123" s="244">
        <f>IF(J123="","",_xlfn.CONCAT("Kous "&amp;I123&amp;" DN"&amp;P123&amp;" - "&amp;O123&amp;"mm - "&amp;N123&amp;"m - ("&amp;J123&amp;")"))</f>
        <v/>
      </c>
      <c r="B123" s="305">
        <f>IFERROR(IF($K123="UV",IF($S123="S+ liner",($N123*(INDEX(Prijzen!$C$15:$P$70,MATCH($P123,Prijzen!$B$15:$B$70,0),MATCH($O123,Prijzen!$C$14:$O$14,0)))*0.58),IF($S123="M liner",($N123*(INDEX(Prijzen!$C$2:$P$11,MATCH($P123,Prijzen!$B$2:$B$11,0),MATCH($O123,Prijzen!$C$1:$P$1,0))))*0.58,0)),$N123*INDEX(Prijzen!$C$73:$P$94,MATCH($P123,Prijzen!$B$73:$B$94,0),MATCH($O123,Prijzen!$C$72:$P$72,0))),"")</f>
        <v/>
      </c>
      <c r="C123" s="260" t="inlineStr">
        <is>
          <t>EUR</t>
        </is>
      </c>
      <c r="D123" s="270" t="n">
        <v>1</v>
      </c>
      <c r="E123" s="305" t="n">
        <v>1</v>
      </c>
      <c r="F123" s="302">
        <f>IFERROR(B123*D123*E123,"")</f>
        <v/>
      </c>
      <c r="G123" s="244" t="n"/>
      <c r="I123" s="306" t="n"/>
      <c r="J123" s="306" t="n"/>
      <c r="K123" s="306" t="n"/>
      <c r="L123" s="306" t="n"/>
      <c r="M123" s="306" t="n"/>
      <c r="N123" s="307" t="n"/>
      <c r="O123" s="306" t="n"/>
      <c r="P123" s="306" t="n"/>
      <c r="Q123" s="306" t="n"/>
      <c r="R123" s="306" t="n"/>
      <c r="S123" s="306" t="n"/>
      <c r="U123" s="308" t="n"/>
    </row>
    <row r="124" hidden="1">
      <c r="A124" s="244">
        <f>IF(J124="","",_xlfn.CONCAT("Kous "&amp;I124&amp;" DN"&amp;P124&amp;" - "&amp;O124&amp;"mm - "&amp;N124&amp;"m - ("&amp;J124&amp;")"))</f>
        <v/>
      </c>
      <c r="B124" s="305">
        <f>IFERROR(IF($K124="UV",IF($S124="S+ liner",($N124*(INDEX(Prijzen!$C$15:$P$70,MATCH($P124,Prijzen!$B$15:$B$70,0),MATCH($O124,Prijzen!$C$14:$O$14,0)))*0.58),IF($S124="M liner",($N124*(INDEX(Prijzen!$C$2:$P$11,MATCH($P124,Prijzen!$B$2:$B$11,0),MATCH($O124,Prijzen!$C$1:$P$1,0))))*0.58,0)),$N124*INDEX(Prijzen!$C$73:$P$94,MATCH($P124,Prijzen!$B$73:$B$94,0),MATCH($O124,Prijzen!$C$72:$P$72,0))),"")</f>
        <v/>
      </c>
      <c r="C124" s="260" t="inlineStr">
        <is>
          <t>EUR</t>
        </is>
      </c>
      <c r="D124" s="270" t="n">
        <v>1</v>
      </c>
      <c r="E124" s="305" t="n">
        <v>1</v>
      </c>
      <c r="F124" s="302">
        <f>IFERROR(B124*D124*E124,"")</f>
        <v/>
      </c>
      <c r="G124" s="244" t="n"/>
      <c r="I124" s="306" t="n"/>
      <c r="J124" s="306" t="n"/>
      <c r="K124" s="306" t="n"/>
      <c r="L124" s="306" t="n"/>
      <c r="M124" s="306" t="n"/>
      <c r="N124" s="307" t="n"/>
      <c r="O124" s="306" t="n"/>
      <c r="P124" s="306" t="n"/>
      <c r="Q124" s="306" t="n"/>
      <c r="R124" s="306" t="n"/>
      <c r="S124" s="306" t="n"/>
      <c r="U124" s="308" t="n"/>
    </row>
    <row r="125" hidden="1">
      <c r="A125" s="244">
        <f>IF(J125="","",_xlfn.CONCAT("Kous "&amp;I125&amp;" DN"&amp;P125&amp;" - "&amp;O125&amp;"mm - "&amp;N125&amp;"m - ("&amp;J125&amp;")"))</f>
        <v/>
      </c>
      <c r="B125" s="305">
        <f>IFERROR(IF($K125="UV",IF($S125="S+ liner",($N125*(INDEX(Prijzen!$C$15:$P$70,MATCH($P125,Prijzen!$B$15:$B$70,0),MATCH($O125,Prijzen!$C$14:$O$14,0)))*0.58),IF($S125="M liner",($N125*(INDEX(Prijzen!$C$2:$P$11,MATCH($P125,Prijzen!$B$2:$B$11,0),MATCH($O125,Prijzen!$C$1:$P$1,0))))*0.58,0)),$N125*INDEX(Prijzen!$C$73:$P$94,MATCH($P125,Prijzen!$B$73:$B$94,0),MATCH($O125,Prijzen!$C$72:$P$72,0))),"")</f>
        <v/>
      </c>
      <c r="C125" s="260" t="inlineStr">
        <is>
          <t>EUR</t>
        </is>
      </c>
      <c r="D125" s="270" t="n">
        <v>1</v>
      </c>
      <c r="E125" s="305" t="n">
        <v>1</v>
      </c>
      <c r="F125" s="302">
        <f>IFERROR(B125*D125*E125,"")</f>
        <v/>
      </c>
      <c r="G125" s="244" t="n"/>
      <c r="I125" s="306" t="n"/>
      <c r="J125" s="306" t="n"/>
      <c r="K125" s="306" t="n"/>
      <c r="L125" s="306" t="n"/>
      <c r="M125" s="306" t="n"/>
      <c r="N125" s="307" t="n"/>
      <c r="O125" s="306" t="n"/>
      <c r="P125" s="306" t="n"/>
      <c r="Q125" s="306" t="n"/>
      <c r="R125" s="306" t="n"/>
      <c r="S125" s="306" t="n"/>
      <c r="U125" s="308" t="n"/>
    </row>
    <row r="126" hidden="1">
      <c r="A126" s="244">
        <f>IF(J126="","",_xlfn.CONCAT("Kous "&amp;I126&amp;" DN"&amp;P126&amp;" - "&amp;O126&amp;"mm - "&amp;N126&amp;"m - ("&amp;J126&amp;")"))</f>
        <v/>
      </c>
      <c r="B126" s="305">
        <f>IFERROR(IF($K126="UV",IF($S126="S+ liner",($N126*(INDEX(Prijzen!$C$15:$P$70,MATCH($P126,Prijzen!$B$15:$B$70,0),MATCH($O126,Prijzen!$C$14:$O$14,0)))*0.58),IF($S126="M liner",($N126*(INDEX(Prijzen!$C$2:$P$11,MATCH($P126,Prijzen!$B$2:$B$11,0),MATCH($O126,Prijzen!$C$1:$P$1,0))))*0.58,0)),$N126*INDEX(Prijzen!$C$73:$P$94,MATCH($P126,Prijzen!$B$73:$B$94,0),MATCH($O126,Prijzen!$C$72:$P$72,0))),"")</f>
        <v/>
      </c>
      <c r="C126" s="260" t="inlineStr">
        <is>
          <t>EUR</t>
        </is>
      </c>
      <c r="D126" s="270" t="n">
        <v>1</v>
      </c>
      <c r="E126" s="305" t="n">
        <v>1</v>
      </c>
      <c r="F126" s="302">
        <f>IFERROR(B126*D126*E126,"")</f>
        <v/>
      </c>
      <c r="G126" s="244" t="n"/>
      <c r="I126" s="306" t="n"/>
      <c r="J126" s="306" t="n"/>
      <c r="K126" s="306" t="n"/>
      <c r="L126" s="306" t="n"/>
      <c r="M126" s="306" t="n"/>
      <c r="N126" s="307" t="n"/>
      <c r="O126" s="306" t="n"/>
      <c r="P126" s="306" t="n"/>
      <c r="Q126" s="306" t="n"/>
      <c r="R126" s="306" t="n"/>
      <c r="S126" s="306" t="n"/>
      <c r="U126" s="308" t="n"/>
    </row>
    <row r="127" hidden="1">
      <c r="A127" s="244">
        <f>IF(J127="","",_xlfn.CONCAT("Kous "&amp;I127&amp;" DN"&amp;P127&amp;" - "&amp;O127&amp;"mm - "&amp;N127&amp;"m - ("&amp;J127&amp;")"))</f>
        <v/>
      </c>
      <c r="B127" s="305">
        <f>IFERROR(IF($K127="UV",IF($S127="S+ liner",($N127*(INDEX(Prijzen!$C$15:$P$70,MATCH($P127,Prijzen!$B$15:$B$70,0),MATCH($O127,Prijzen!$C$14:$O$14,0)))*0.58),IF($S127="M liner",($N127*(INDEX(Prijzen!$C$2:$P$11,MATCH($P127,Prijzen!$B$2:$B$11,0),MATCH($O127,Prijzen!$C$1:$P$1,0))))*0.58,0)),$N127*INDEX(Prijzen!$C$73:$P$94,MATCH($P127,Prijzen!$B$73:$B$94,0),MATCH($O127,Prijzen!$C$72:$P$72,0))),"")</f>
        <v/>
      </c>
      <c r="C127" s="260" t="inlineStr">
        <is>
          <t>EUR</t>
        </is>
      </c>
      <c r="D127" s="270" t="n">
        <v>1</v>
      </c>
      <c r="E127" s="305" t="n">
        <v>1</v>
      </c>
      <c r="F127" s="302">
        <f>IFERROR(B127*D127*E127,"")</f>
        <v/>
      </c>
      <c r="G127" s="244" t="n"/>
      <c r="I127" s="306" t="n"/>
      <c r="J127" s="306" t="n"/>
      <c r="K127" s="306" t="n"/>
      <c r="L127" s="306" t="n"/>
      <c r="M127" s="306" t="n"/>
      <c r="N127" s="307" t="n"/>
      <c r="O127" s="306" t="n"/>
      <c r="P127" s="306" t="n"/>
      <c r="Q127" s="306" t="n"/>
      <c r="R127" s="306" t="n"/>
      <c r="S127" s="306" t="n"/>
      <c r="U127" s="308" t="n"/>
    </row>
    <row r="128" hidden="1">
      <c r="A128" s="244">
        <f>IF(J128="","",_xlfn.CONCAT("Kous "&amp;I128&amp;" DN"&amp;P128&amp;" - "&amp;O128&amp;"mm - "&amp;N128&amp;"m - ("&amp;J128&amp;")"))</f>
        <v/>
      </c>
      <c r="B128" s="305">
        <f>IFERROR(IF($K128="UV",IF($S128="S+ liner",($N128*(INDEX(Prijzen!$C$15:$P$70,MATCH($P128,Prijzen!$B$15:$B$70,0),MATCH($O128,Prijzen!$C$14:$O$14,0)))*0.58),IF($S128="M liner",($N128*(INDEX(Prijzen!$C$2:$P$11,MATCH($P128,Prijzen!$B$2:$B$11,0),MATCH($O128,Prijzen!$C$1:$P$1,0))))*0.58,0)),$N128*INDEX(Prijzen!$C$73:$P$94,MATCH($P128,Prijzen!$B$73:$B$94,0),MATCH($O128,Prijzen!$C$72:$P$72,0))),"")</f>
        <v/>
      </c>
      <c r="C128" s="260" t="inlineStr">
        <is>
          <t>EUR</t>
        </is>
      </c>
      <c r="D128" s="270" t="n">
        <v>1</v>
      </c>
      <c r="E128" s="305" t="n">
        <v>1</v>
      </c>
      <c r="F128" s="302">
        <f>IFERROR(B128*D128*E128,"")</f>
        <v/>
      </c>
      <c r="G128" s="244" t="n"/>
      <c r="I128" s="306" t="n"/>
      <c r="J128" s="306" t="n"/>
      <c r="K128" s="306" t="n"/>
      <c r="L128" s="306" t="n"/>
      <c r="M128" s="306" t="n"/>
      <c r="N128" s="307" t="n"/>
      <c r="O128" s="306" t="n"/>
      <c r="P128" s="306" t="n"/>
      <c r="Q128" s="306" t="n"/>
      <c r="R128" s="306" t="n"/>
      <c r="S128" s="306" t="n"/>
      <c r="U128" s="308" t="n"/>
    </row>
    <row r="129" hidden="1">
      <c r="A129" s="244">
        <f>IF(J129="","",_xlfn.CONCAT("Kous "&amp;I129&amp;" DN"&amp;P129&amp;" - "&amp;O129&amp;"mm - "&amp;N129&amp;"m - ("&amp;J129&amp;")"))</f>
        <v/>
      </c>
      <c r="B129" s="305">
        <f>IFERROR(IF($K129="UV",IF($S129="S+ liner",($N129*(INDEX(Prijzen!$C$15:$P$70,MATCH($P129,Prijzen!$B$15:$B$70,0),MATCH($O129,Prijzen!$C$14:$O$14,0)))*0.58),IF($S129="M liner",($N129*(INDEX(Prijzen!$C$2:$P$11,MATCH($P129,Prijzen!$B$2:$B$11,0),MATCH($O129,Prijzen!$C$1:$P$1,0))))*0.58,0)),$N129*INDEX(Prijzen!$C$73:$P$94,MATCH($P129,Prijzen!$B$73:$B$94,0),MATCH($O129,Prijzen!$C$72:$P$72,0))),"")</f>
        <v/>
      </c>
      <c r="C129" s="260" t="inlineStr">
        <is>
          <t>EUR</t>
        </is>
      </c>
      <c r="D129" s="270" t="n">
        <v>1</v>
      </c>
      <c r="E129" s="305" t="n">
        <v>1</v>
      </c>
      <c r="F129" s="302">
        <f>IFERROR(B129*D129*E129,"")</f>
        <v/>
      </c>
      <c r="G129" s="244" t="n"/>
      <c r="I129" s="306" t="n"/>
      <c r="J129" s="306" t="n"/>
      <c r="K129" s="306" t="n"/>
      <c r="L129" s="306" t="n"/>
      <c r="M129" s="306" t="n"/>
      <c r="N129" s="307" t="n"/>
      <c r="O129" s="306" t="n"/>
      <c r="P129" s="306" t="n"/>
      <c r="Q129" s="306" t="n"/>
      <c r="R129" s="306" t="n"/>
      <c r="S129" s="306" t="n"/>
      <c r="U129" s="308" t="n"/>
    </row>
    <row r="130" hidden="1">
      <c r="A130" s="244">
        <f>IF(J130="","",_xlfn.CONCAT("Kous "&amp;I130&amp;" DN"&amp;P130&amp;" - "&amp;O130&amp;"mm - "&amp;N130&amp;"m - ("&amp;J130&amp;")"))</f>
        <v/>
      </c>
      <c r="B130" s="305">
        <f>IFERROR(IF($K130="UV",IF($S130="S+ liner",($N130*(INDEX(Prijzen!$C$15:$P$70,MATCH($P130,Prijzen!$B$15:$B$70,0),MATCH($O130,Prijzen!$C$14:$O$14,0)))*0.58),IF($S130="M liner",($N130*(INDEX(Prijzen!$C$2:$P$11,MATCH($P130,Prijzen!$B$2:$B$11,0),MATCH($O130,Prijzen!$C$1:$P$1,0))))*0.58,0)),$N130*INDEX(Prijzen!$C$73:$P$94,MATCH($P130,Prijzen!$B$73:$B$94,0),MATCH($O130,Prijzen!$C$72:$P$72,0))),"")</f>
        <v/>
      </c>
      <c r="C130" s="260" t="inlineStr">
        <is>
          <t>EUR</t>
        </is>
      </c>
      <c r="D130" s="270" t="n">
        <v>1</v>
      </c>
      <c r="E130" s="305" t="n">
        <v>1</v>
      </c>
      <c r="F130" s="302">
        <f>IFERROR(B130*D130*E130,"")</f>
        <v/>
      </c>
      <c r="G130" s="244" t="n"/>
      <c r="I130" s="306" t="n"/>
      <c r="J130" s="306" t="n"/>
      <c r="K130" s="306" t="n"/>
      <c r="L130" s="306" t="n"/>
      <c r="M130" s="306" t="n"/>
      <c r="N130" s="307" t="n"/>
      <c r="O130" s="306" t="n"/>
      <c r="P130" s="306" t="n"/>
      <c r="Q130" s="306" t="n"/>
      <c r="R130" s="306" t="n"/>
      <c r="S130" s="306" t="n"/>
      <c r="U130" s="308" t="n"/>
    </row>
    <row r="131" hidden="1">
      <c r="A131" s="244">
        <f>IF(J131="","",_xlfn.CONCAT("Kous "&amp;I131&amp;" DN"&amp;P131&amp;" - "&amp;O131&amp;"mm - "&amp;N131&amp;"m - ("&amp;J131&amp;")"))</f>
        <v/>
      </c>
      <c r="B131" s="305">
        <f>IFERROR(IF($K131="UV",IF($S131="S+ liner",($N131*(INDEX(Prijzen!$C$15:$P$70,MATCH($P131,Prijzen!$B$15:$B$70,0),MATCH($O131,Prijzen!$C$14:$O$14,0)))*0.58),IF($S131="M liner",($N131*(INDEX(Prijzen!$C$2:$P$11,MATCH($P131,Prijzen!$B$2:$B$11,0),MATCH($O131,Prijzen!$C$1:$P$1,0))))*0.58,0)),$N131*INDEX(Prijzen!$C$73:$P$94,MATCH($P131,Prijzen!$B$73:$B$94,0),MATCH($O131,Prijzen!$C$72:$P$72,0))),"")</f>
        <v/>
      </c>
      <c r="C131" s="260" t="inlineStr">
        <is>
          <t>EUR</t>
        </is>
      </c>
      <c r="D131" s="270" t="n">
        <v>1</v>
      </c>
      <c r="E131" s="305" t="n">
        <v>1</v>
      </c>
      <c r="F131" s="302">
        <f>IFERROR(B131*D131*E131,"")</f>
        <v/>
      </c>
      <c r="G131" s="244" t="n"/>
      <c r="I131" s="306" t="n"/>
      <c r="J131" s="306" t="n"/>
      <c r="K131" s="306" t="n"/>
      <c r="L131" s="306" t="n"/>
      <c r="M131" s="306" t="n"/>
      <c r="N131" s="307" t="n"/>
      <c r="O131" s="306" t="n"/>
      <c r="P131" s="306" t="n"/>
      <c r="Q131" s="306" t="n"/>
      <c r="R131" s="306" t="n"/>
      <c r="S131" s="306" t="n"/>
      <c r="U131" s="308" t="n"/>
    </row>
    <row r="132" hidden="1">
      <c r="A132" s="244">
        <f>IF(J132="","",_xlfn.CONCAT("Kous "&amp;I132&amp;" DN"&amp;P132&amp;" - "&amp;O132&amp;"mm - "&amp;N132&amp;"m - ("&amp;J132&amp;")"))</f>
        <v/>
      </c>
      <c r="B132" s="305">
        <f>IFERROR(IF($K132="UV",IF($S132="S+ liner",($N132*(INDEX(Prijzen!$C$15:$P$70,MATCH($P132,Prijzen!$B$15:$B$70,0),MATCH($O132,Prijzen!$C$14:$O$14,0)))*0.58),IF($S132="M liner",($N132*(INDEX(Prijzen!$C$2:$P$11,MATCH($P132,Prijzen!$B$2:$B$11,0),MATCH($O132,Prijzen!$C$1:$P$1,0))))*0.58,0)),$N132*INDEX(Prijzen!$C$73:$P$94,MATCH($P132,Prijzen!$B$73:$B$94,0),MATCH($O132,Prijzen!$C$72:$P$72,0))),"")</f>
        <v/>
      </c>
      <c r="C132" s="260" t="inlineStr">
        <is>
          <t>EUR</t>
        </is>
      </c>
      <c r="D132" s="270" t="n">
        <v>1</v>
      </c>
      <c r="E132" s="305" t="n">
        <v>1</v>
      </c>
      <c r="F132" s="302">
        <f>IFERROR(B132*D132*E132,"")</f>
        <v/>
      </c>
      <c r="G132" s="244" t="n"/>
      <c r="I132" s="306" t="n"/>
      <c r="J132" s="306" t="n"/>
      <c r="K132" s="306" t="n"/>
      <c r="L132" s="306" t="n"/>
      <c r="M132" s="306" t="n"/>
      <c r="N132" s="307" t="n"/>
      <c r="O132" s="306" t="n"/>
      <c r="P132" s="306" t="n"/>
      <c r="Q132" s="306" t="n"/>
      <c r="R132" s="306" t="n"/>
      <c r="S132" s="306" t="n"/>
      <c r="U132" s="308" t="n"/>
    </row>
    <row r="133" hidden="1" ht="14.25" customHeight="1">
      <c r="A133" s="244">
        <f>IF(J133="","",_xlfn.CONCAT("Kous "&amp;I133&amp;" DN"&amp;P133&amp;" - "&amp;O133&amp;"mm - "&amp;N133&amp;"m - ("&amp;J133&amp;")"))</f>
        <v/>
      </c>
      <c r="B133" s="305">
        <f>IFERROR(IF($K133="UV",IF($S133="S+ liner",($N133*(INDEX(Prijzen!$C$15:$P$70,MATCH($P133,Prijzen!$B$15:$B$70,0),MATCH($O133,Prijzen!$C$14:$O$14,0)))*0.58),IF($S133="M liner",($N133*(INDEX(Prijzen!$C$2:$P$11,MATCH($P133,Prijzen!$B$2:$B$11,0),MATCH($O133,Prijzen!$C$1:$P$1,0))))*0.58,0)),$N133*INDEX(Prijzen!$C$73:$P$94,MATCH($P133,Prijzen!$B$73:$B$94,0),MATCH($O133,Prijzen!$C$72:$P$72,0))),"")</f>
        <v/>
      </c>
      <c r="C133" s="260" t="inlineStr">
        <is>
          <t>EUR</t>
        </is>
      </c>
      <c r="D133" s="270" t="n">
        <v>1</v>
      </c>
      <c r="E133" s="305" t="n">
        <v>1</v>
      </c>
      <c r="F133" s="302">
        <f>IFERROR(B133*D133*E133,"")</f>
        <v/>
      </c>
      <c r="G133" s="244" t="n"/>
      <c r="I133" s="306" t="n"/>
      <c r="J133" s="306" t="n"/>
      <c r="K133" s="306" t="n"/>
      <c r="L133" s="306" t="n"/>
      <c r="M133" s="306" t="n"/>
      <c r="N133" s="307" t="n"/>
      <c r="O133" s="306" t="n"/>
      <c r="P133" s="306" t="n"/>
      <c r="Q133" s="306" t="n"/>
      <c r="R133" s="306" t="n"/>
      <c r="S133" s="306" t="n"/>
      <c r="U133" s="308" t="n"/>
    </row>
    <row r="134" hidden="1">
      <c r="A134" s="244">
        <f>IF(J134="","",_xlfn.CONCAT("Kous "&amp;I134&amp;" DN"&amp;P134&amp;" - "&amp;O134&amp;"mm - "&amp;N134&amp;"m - ("&amp;J134&amp;")"))</f>
        <v/>
      </c>
      <c r="B134" s="305">
        <f>IFERROR(IF($K134="UV",IF($S134="S+ liner",($N134*(INDEX(Prijzen!$C$15:$P$70,MATCH($P134,Prijzen!$B$15:$B$70,0),MATCH($O134,Prijzen!$C$14:$O$14,0)))*0.58),IF($S134="M liner",($N134*(INDEX(Prijzen!$C$2:$P$11,MATCH($P134,Prijzen!$B$2:$B$11,0),MATCH($O134,Prijzen!$C$1:$P$1,0))))*0.58,0)),$N134*INDEX(Prijzen!$C$73:$P$94,MATCH($P134,Prijzen!$B$73:$B$94,0),MATCH($O134,Prijzen!$C$72:$P$72,0))),"")</f>
        <v/>
      </c>
      <c r="C134" s="260" t="inlineStr">
        <is>
          <t>EUR</t>
        </is>
      </c>
      <c r="D134" s="270" t="n">
        <v>1</v>
      </c>
      <c r="E134" s="305" t="n">
        <v>1</v>
      </c>
      <c r="F134" s="302">
        <f>IFERROR(B134*D134*E134,"")</f>
        <v/>
      </c>
      <c r="G134" s="244" t="n"/>
      <c r="I134" s="306" t="n"/>
      <c r="J134" s="306" t="n"/>
      <c r="K134" s="306" t="n"/>
      <c r="L134" s="306" t="n"/>
      <c r="M134" s="306" t="n"/>
      <c r="N134" s="307" t="n"/>
      <c r="O134" s="306" t="n"/>
      <c r="P134" s="306" t="n"/>
      <c r="Q134" s="306" t="n"/>
      <c r="R134" s="306" t="n"/>
      <c r="S134" s="306" t="n"/>
      <c r="U134" s="308" t="n"/>
    </row>
    <row r="135" hidden="1">
      <c r="A135" s="244">
        <f>IF(J135="","",_xlfn.CONCAT("Kous "&amp;I135&amp;" DN"&amp;P135&amp;" - "&amp;O135&amp;"mm - "&amp;N135&amp;"m - ("&amp;J135&amp;")"))</f>
        <v/>
      </c>
      <c r="B135" s="305">
        <f>IFERROR(IF($K135="UV",IF($S135="S+ liner",($N135*(INDEX(Prijzen!$C$15:$P$70,MATCH($P135,Prijzen!$B$15:$B$70,0),MATCH($O135,Prijzen!$C$14:$O$14,0)))*0.58),IF($S135="M liner",($N135*(INDEX(Prijzen!$C$2:$P$11,MATCH($P135,Prijzen!$B$2:$B$11,0),MATCH($O135,Prijzen!$C$1:$P$1,0))))*0.58,0)),$N135*INDEX(Prijzen!$C$73:$P$94,MATCH($P135,Prijzen!$B$73:$B$94,0),MATCH($O135,Prijzen!$C$72:$P$72,0))),"")</f>
        <v/>
      </c>
      <c r="C135" s="260" t="inlineStr">
        <is>
          <t>EUR</t>
        </is>
      </c>
      <c r="D135" s="270" t="n">
        <v>1</v>
      </c>
      <c r="E135" s="305" t="n">
        <v>1</v>
      </c>
      <c r="F135" s="302">
        <f>IFERROR(B135*D135*E135,"")</f>
        <v/>
      </c>
      <c r="G135" s="244" t="n"/>
      <c r="I135" s="306" t="n"/>
      <c r="J135" s="306" t="n"/>
      <c r="K135" s="306" t="n"/>
      <c r="L135" s="306" t="n"/>
      <c r="M135" s="306" t="n"/>
      <c r="N135" s="307" t="n"/>
      <c r="O135" s="306" t="n"/>
      <c r="P135" s="306" t="n"/>
      <c r="Q135" s="306" t="n"/>
      <c r="R135" s="306" t="n"/>
      <c r="S135" s="306" t="n"/>
      <c r="U135" s="308" t="n"/>
    </row>
    <row r="136" hidden="1">
      <c r="A136" s="244">
        <f>IF(J136="","",_xlfn.CONCAT("Kous "&amp;I136&amp;" DN"&amp;P136&amp;" - "&amp;O136&amp;"mm - "&amp;N136&amp;"m - ("&amp;J136&amp;")"))</f>
        <v/>
      </c>
      <c r="B136" s="305">
        <f>IFERROR(IF($K136="UV",IF($S136="S+ liner",($N136*(INDEX(Prijzen!$C$15:$P$70,MATCH($P136,Prijzen!$B$15:$B$70,0),MATCH($O136,Prijzen!$C$14:$O$14,0)))*0.58),IF($S136="M liner",($N136*(INDEX(Prijzen!$C$2:$P$11,MATCH($P136,Prijzen!$B$2:$B$11,0),MATCH($O136,Prijzen!$C$1:$P$1,0))))*0.58,0)),$N136*INDEX(Prijzen!$C$73:$P$94,MATCH($P136,Prijzen!$B$73:$B$94,0),MATCH($O136,Prijzen!$C$72:$P$72,0))),"")</f>
        <v/>
      </c>
      <c r="C136" s="260" t="inlineStr">
        <is>
          <t>EUR</t>
        </is>
      </c>
      <c r="D136" s="270" t="n">
        <v>1</v>
      </c>
      <c r="E136" s="305" t="n">
        <v>1</v>
      </c>
      <c r="F136" s="302">
        <f>IFERROR(B136*D136*E136,"")</f>
        <v/>
      </c>
      <c r="G136" s="244" t="n"/>
      <c r="I136" s="306" t="n"/>
      <c r="J136" s="306" t="n"/>
      <c r="K136" s="306" t="n"/>
      <c r="L136" s="306" t="n"/>
      <c r="M136" s="306" t="n"/>
      <c r="N136" s="307" t="n"/>
      <c r="O136" s="306" t="n"/>
      <c r="P136" s="306" t="n"/>
      <c r="Q136" s="306" t="n"/>
      <c r="R136" s="306" t="n"/>
      <c r="S136" s="306" t="n"/>
      <c r="U136" s="308" t="n"/>
    </row>
    <row r="137" hidden="1">
      <c r="A137" s="244">
        <f>IF(J137="","",_xlfn.CONCAT("Kous "&amp;I137&amp;" DN"&amp;P137&amp;" - "&amp;O137&amp;"mm - "&amp;N137&amp;"m - ("&amp;J137&amp;")"))</f>
        <v/>
      </c>
      <c r="B137" s="305">
        <f>IFERROR(IF($K137="UV",IF($S137="S+ liner",($N137*(INDEX(Prijzen!$C$15:$P$70,MATCH($P137,Prijzen!$B$15:$B$70,0),MATCH($O137,Prijzen!$C$14:$O$14,0)))*0.58),IF($S137="M liner",($N137*(INDEX(Prijzen!$C$2:$P$11,MATCH($P137,Prijzen!$B$2:$B$11,0),MATCH($O137,Prijzen!$C$1:$P$1,0))))*0.58,0)),$N137*INDEX(Prijzen!$C$73:$P$94,MATCH($P137,Prijzen!$B$73:$B$94,0),MATCH($O137,Prijzen!$C$72:$P$72,0))),"")</f>
        <v/>
      </c>
      <c r="C137" s="260" t="inlineStr">
        <is>
          <t>EUR</t>
        </is>
      </c>
      <c r="D137" s="270" t="n">
        <v>1</v>
      </c>
      <c r="E137" s="305" t="n">
        <v>1</v>
      </c>
      <c r="F137" s="302">
        <f>IFERROR(B137*D137*E137,"")</f>
        <v/>
      </c>
      <c r="G137" s="244" t="n"/>
      <c r="I137" s="306" t="n"/>
      <c r="J137" s="306" t="n"/>
      <c r="K137" s="306" t="n"/>
      <c r="L137" s="306" t="n"/>
      <c r="M137" s="306" t="n"/>
      <c r="N137" s="307" t="n"/>
      <c r="O137" s="306" t="n"/>
      <c r="P137" s="306" t="n"/>
      <c r="Q137" s="306" t="n"/>
      <c r="R137" s="306" t="n"/>
      <c r="S137" s="306" t="n"/>
      <c r="U137" s="308" t="n"/>
    </row>
    <row r="138" hidden="1">
      <c r="A138" s="244">
        <f>IF(J138="","",_xlfn.CONCAT("Kous "&amp;I138&amp;" DN"&amp;P138&amp;" - "&amp;O138&amp;"mm - "&amp;N138&amp;"m - ("&amp;J138&amp;")"))</f>
        <v/>
      </c>
      <c r="B138" s="305">
        <f>IFERROR(IF($K138="UV",IF($S138="S+ liner",($N138*(INDEX(Prijzen!$C$15:$P$70,MATCH($P138,Prijzen!$B$15:$B$70,0),MATCH($O138,Prijzen!$C$14:$O$14,0)))*0.58),IF($S138="M liner",($N138*(INDEX(Prijzen!$C$2:$P$11,MATCH($P138,Prijzen!$B$2:$B$11,0),MATCH($O138,Prijzen!$C$1:$P$1,0))))*0.58,0)),$N138*INDEX(Prijzen!$C$73:$P$94,MATCH($P138,Prijzen!$B$73:$B$94,0),MATCH($O138,Prijzen!$C$72:$P$72,0))),"")</f>
        <v/>
      </c>
      <c r="C138" s="260" t="inlineStr">
        <is>
          <t>EUR</t>
        </is>
      </c>
      <c r="D138" s="270" t="n">
        <v>1</v>
      </c>
      <c r="E138" s="305" t="n">
        <v>1</v>
      </c>
      <c r="F138" s="302">
        <f>IFERROR(B138*D138*E138,"")</f>
        <v/>
      </c>
      <c r="G138" s="244" t="n"/>
      <c r="I138" s="306" t="n"/>
      <c r="J138" s="306" t="n"/>
      <c r="K138" s="306" t="n"/>
      <c r="L138" s="306" t="n"/>
      <c r="M138" s="306" t="n"/>
      <c r="N138" s="307" t="n"/>
      <c r="O138" s="306" t="n"/>
      <c r="P138" s="306" t="n"/>
      <c r="Q138" s="306" t="n"/>
      <c r="R138" s="306" t="n"/>
      <c r="S138" s="306" t="n"/>
      <c r="U138" s="308" t="n"/>
    </row>
    <row r="139" hidden="1">
      <c r="A139" s="244">
        <f>IF(J139="","",_xlfn.CONCAT("Kous "&amp;I139&amp;" DN"&amp;P139&amp;" - "&amp;O139&amp;"mm - "&amp;N139&amp;"m - ("&amp;J139&amp;")"))</f>
        <v/>
      </c>
      <c r="B139" s="305">
        <f>IFERROR(IF($K139="UV",IF($S139="S+ liner",($N139*(INDEX(Prijzen!$C$15:$P$70,MATCH($P139,Prijzen!$B$15:$B$70,0),MATCH($O139,Prijzen!$C$14:$O$14,0)))*0.58),IF($S139="M liner",($N139*(INDEX(Prijzen!$C$2:$P$11,MATCH($P139,Prijzen!$B$2:$B$11,0),MATCH($O139,Prijzen!$C$1:$P$1,0))))*0.58,0)),$N139*INDEX(Prijzen!$C$73:$P$94,MATCH($P139,Prijzen!$B$73:$B$94,0),MATCH($O139,Prijzen!$C$72:$P$72,0))),"")</f>
        <v/>
      </c>
      <c r="C139" s="260" t="inlineStr">
        <is>
          <t>EUR</t>
        </is>
      </c>
      <c r="D139" s="270" t="n">
        <v>1</v>
      </c>
      <c r="E139" s="305" t="n">
        <v>1</v>
      </c>
      <c r="F139" s="302">
        <f>IFERROR(B139*D139*E139,"")</f>
        <v/>
      </c>
      <c r="G139" s="244" t="n"/>
      <c r="I139" s="306" t="n"/>
      <c r="J139" s="306" t="n"/>
      <c r="K139" s="306" t="n"/>
      <c r="L139" s="306" t="n"/>
      <c r="M139" s="306" t="n"/>
      <c r="N139" s="307" t="n"/>
      <c r="O139" s="306" t="n"/>
      <c r="P139" s="306" t="n"/>
      <c r="Q139" s="306" t="n"/>
      <c r="R139" s="306" t="n"/>
      <c r="S139" s="306" t="n"/>
      <c r="U139" s="308" t="n"/>
    </row>
    <row r="140" hidden="1">
      <c r="A140" s="244">
        <f>IF(J140="","",_xlfn.CONCAT("Kous "&amp;I140&amp;" DN"&amp;P140&amp;" - "&amp;O140&amp;"mm - "&amp;N140&amp;"m - ("&amp;J140&amp;")"))</f>
        <v/>
      </c>
      <c r="B140" s="305">
        <f>IFERROR(IF($K140="UV",IF($S140="S+ liner",($N140*(INDEX(Prijzen!$C$15:$P$70,MATCH($P140,Prijzen!$B$15:$B$70,0),MATCH($O140,Prijzen!$C$14:$O$14,0)))*0.58),IF($S140="M liner",($N140*(INDEX(Prijzen!$C$2:$P$11,MATCH($P140,Prijzen!$B$2:$B$11,0),MATCH($O140,Prijzen!$C$1:$P$1,0))))*0.58,0)),$N140*INDEX(Prijzen!$C$73:$P$94,MATCH($P140,Prijzen!$B$73:$B$94,0),MATCH($O140,Prijzen!$C$72:$P$72,0))),"")</f>
        <v/>
      </c>
      <c r="C140" s="260" t="inlineStr">
        <is>
          <t>EUR</t>
        </is>
      </c>
      <c r="D140" s="270" t="n">
        <v>1</v>
      </c>
      <c r="E140" s="305" t="n">
        <v>1</v>
      </c>
      <c r="F140" s="302">
        <f>IFERROR(B140*D140*E140,"")</f>
        <v/>
      </c>
      <c r="G140" s="244" t="n"/>
      <c r="I140" s="306" t="n"/>
      <c r="J140" s="306" t="n"/>
      <c r="K140" s="306" t="n"/>
      <c r="L140" s="306" t="n"/>
      <c r="M140" s="306" t="n"/>
      <c r="N140" s="307" t="n"/>
      <c r="O140" s="306" t="n"/>
      <c r="P140" s="306" t="n"/>
      <c r="Q140" s="306" t="n"/>
      <c r="R140" s="306" t="n"/>
      <c r="S140" s="306" t="n"/>
      <c r="U140" s="308" t="n"/>
    </row>
    <row r="141" hidden="1">
      <c r="A141" s="244">
        <f>IF(J141="","",_xlfn.CONCAT("Kous "&amp;I141&amp;" DN"&amp;P141&amp;" - "&amp;O141&amp;"mm - "&amp;N141&amp;"m - ("&amp;J141&amp;")"))</f>
        <v/>
      </c>
      <c r="B141" s="305">
        <f>IFERROR(IF($K141="UV",IF($S141="S+ liner",($N141*(INDEX(Prijzen!$C$15:$P$70,MATCH($P141,Prijzen!$B$15:$B$70,0),MATCH($O141,Prijzen!$C$14:$O$14,0)))*0.58),IF($S141="M liner",($N141*(INDEX(Prijzen!$C$2:$P$11,MATCH($P141,Prijzen!$B$2:$B$11,0),MATCH($O141,Prijzen!$C$1:$P$1,0))))*0.58,0)),$N141*INDEX(Prijzen!$C$73:$P$94,MATCH($P141,Prijzen!$B$73:$B$94,0),MATCH($O141,Prijzen!$C$72:$P$72,0))),"")</f>
        <v/>
      </c>
      <c r="C141" s="260" t="inlineStr">
        <is>
          <t>EUR</t>
        </is>
      </c>
      <c r="D141" s="270" t="n">
        <v>1</v>
      </c>
      <c r="E141" s="305" t="n">
        <v>1</v>
      </c>
      <c r="F141" s="302">
        <f>IFERROR(B141*D141*E141,"")</f>
        <v/>
      </c>
      <c r="G141" s="244" t="n"/>
      <c r="I141" s="306" t="n"/>
      <c r="J141" s="306" t="n"/>
      <c r="K141" s="306" t="n"/>
      <c r="L141" s="306" t="n"/>
      <c r="M141" s="306" t="n"/>
      <c r="N141" s="307" t="n"/>
      <c r="O141" s="306" t="n"/>
      <c r="P141" s="306" t="n"/>
      <c r="Q141" s="306" t="n"/>
      <c r="R141" s="306" t="n"/>
      <c r="S141" s="306" t="n"/>
      <c r="U141" s="308" t="n"/>
    </row>
    <row r="142" hidden="1">
      <c r="A142" s="244">
        <f>IF(J142="","",_xlfn.CONCAT("Kous "&amp;I142&amp;" DN"&amp;P142&amp;" - "&amp;O142&amp;"mm - "&amp;N142&amp;"m - ("&amp;J142&amp;")"))</f>
        <v/>
      </c>
      <c r="B142" s="305">
        <f>IFERROR(IF($K142="UV",IF($S142="S+ liner",($N142*(INDEX(Prijzen!$C$15:$P$70,MATCH($P142,Prijzen!$B$15:$B$70,0),MATCH($O142,Prijzen!$C$14:$O$14,0)))*0.58),IF($S142="M liner",($N142*(INDEX(Prijzen!$C$2:$P$11,MATCH($P142,Prijzen!$B$2:$B$11,0),MATCH($O142,Prijzen!$C$1:$P$1,0))))*0.58,0)),$N142*INDEX(Prijzen!$C$73:$P$94,MATCH($P142,Prijzen!$B$73:$B$94,0),MATCH($O142,Prijzen!$C$72:$P$72,0))),"")</f>
        <v/>
      </c>
      <c r="C142" s="260" t="inlineStr">
        <is>
          <t>EUR</t>
        </is>
      </c>
      <c r="D142" s="270" t="n">
        <v>1</v>
      </c>
      <c r="E142" s="305" t="n">
        <v>1</v>
      </c>
      <c r="F142" s="302">
        <f>IFERROR(B142*D142*E142,"")</f>
        <v/>
      </c>
      <c r="G142" s="244" t="n"/>
      <c r="I142" s="306" t="n"/>
      <c r="J142" s="306" t="n"/>
      <c r="K142" s="306" t="n"/>
      <c r="L142" s="306" t="n"/>
      <c r="M142" s="306" t="n"/>
      <c r="N142" s="307" t="n"/>
      <c r="O142" s="306" t="n"/>
      <c r="P142" s="306" t="n"/>
      <c r="Q142" s="306" t="n"/>
      <c r="R142" s="306" t="n"/>
      <c r="S142" s="306" t="n"/>
      <c r="U142" s="308" t="n"/>
    </row>
    <row r="143" hidden="1">
      <c r="A143" s="244">
        <f>IF(J143="","",_xlfn.CONCAT("Kous "&amp;I143&amp;" DN"&amp;P143&amp;" - "&amp;O143&amp;"mm - "&amp;N143&amp;"m - ("&amp;J143&amp;")"))</f>
        <v/>
      </c>
      <c r="B143" s="305">
        <f>IFERROR(IF($K143="UV",IF($S143="S+ liner",($N143*(INDEX(Prijzen!$C$15:$P$70,MATCH($P143,Prijzen!$B$15:$B$70,0),MATCH($O143,Prijzen!$C$14:$O$14,0)))*0.58),IF($S143="M liner",($N143*(INDEX(Prijzen!$C$2:$P$11,MATCH($P143,Prijzen!$B$2:$B$11,0),MATCH($O143,Prijzen!$C$1:$P$1,0))))*0.58,0)),$N143*INDEX(Prijzen!$C$73:$P$94,MATCH($P143,Prijzen!$B$73:$B$94,0),MATCH($O143,Prijzen!$C$72:$P$72,0))),"")</f>
        <v/>
      </c>
      <c r="C143" s="260" t="inlineStr">
        <is>
          <t>EUR</t>
        </is>
      </c>
      <c r="D143" s="270" t="n">
        <v>1</v>
      </c>
      <c r="E143" s="305" t="n">
        <v>1</v>
      </c>
      <c r="F143" s="302">
        <f>IFERROR(B143*D143*E143,"")</f>
        <v/>
      </c>
      <c r="G143" s="244" t="n"/>
      <c r="I143" s="306" t="n"/>
      <c r="J143" s="306" t="n"/>
      <c r="K143" s="306" t="n"/>
      <c r="L143" s="306" t="n"/>
      <c r="M143" s="306" t="n"/>
      <c r="N143" s="307" t="n"/>
      <c r="O143" s="306" t="n"/>
      <c r="P143" s="306" t="n"/>
      <c r="Q143" s="306" t="n"/>
      <c r="R143" s="306" t="n"/>
      <c r="S143" s="306" t="n"/>
      <c r="U143" s="308" t="n"/>
    </row>
    <row r="144" hidden="1">
      <c r="A144" s="244">
        <f>IF(J144="","",_xlfn.CONCAT("Kous "&amp;I144&amp;" DN"&amp;P144&amp;" - "&amp;O144&amp;"mm - "&amp;N144&amp;"m - ("&amp;J144&amp;")"))</f>
        <v/>
      </c>
      <c r="B144" s="305">
        <f>IFERROR(IF($K144="UV",IF($S144="S+ liner",($N144*(INDEX(Prijzen!$C$15:$P$70,MATCH($P144,Prijzen!$B$15:$B$70,0),MATCH($O144,Prijzen!$C$14:$O$14,0)))*0.58),IF($S144="M liner",($N144*(INDEX(Prijzen!$C$2:$P$11,MATCH($P144,Prijzen!$B$2:$B$11,0),MATCH($O144,Prijzen!$C$1:$P$1,0))))*0.58,0)),$N144*INDEX(Prijzen!$C$73:$P$94,MATCH($P144,Prijzen!$B$73:$B$94,0),MATCH($O144,Prijzen!$C$72:$P$72,0))),"")</f>
        <v/>
      </c>
      <c r="C144" s="260" t="inlineStr">
        <is>
          <t>EUR</t>
        </is>
      </c>
      <c r="D144" s="270" t="n">
        <v>1</v>
      </c>
      <c r="E144" s="305" t="n">
        <v>1</v>
      </c>
      <c r="F144" s="302">
        <f>IFERROR(B144*D144*E144,"")</f>
        <v/>
      </c>
      <c r="G144" s="244" t="n"/>
      <c r="I144" s="306" t="n"/>
      <c r="J144" s="306" t="n"/>
      <c r="K144" s="306" t="n"/>
      <c r="L144" s="306" t="n"/>
      <c r="M144" s="306" t="n"/>
      <c r="N144" s="307" t="n"/>
      <c r="O144" s="306" t="n"/>
      <c r="P144" s="306" t="n"/>
      <c r="Q144" s="306" t="n"/>
      <c r="R144" s="306" t="n"/>
      <c r="S144" s="306" t="n"/>
      <c r="U144" s="308" t="n"/>
    </row>
    <row r="145" hidden="1">
      <c r="A145" s="244">
        <f>IF(J145="","",_xlfn.CONCAT("Kous "&amp;I145&amp;" DN"&amp;P145&amp;" - "&amp;O145&amp;"mm - "&amp;N145&amp;"m - ("&amp;J145&amp;")"))</f>
        <v/>
      </c>
      <c r="B145" s="305">
        <f>IFERROR(IF($K145="UV",IF($S145="S+ liner",($N145*(INDEX(Prijzen!$C$15:$P$70,MATCH($P145,Prijzen!$B$15:$B$70,0),MATCH($O145,Prijzen!$C$14:$O$14,0)))*0.58),IF($S145="M liner",($N145*(INDEX(Prijzen!$C$2:$P$11,MATCH($P145,Prijzen!$B$2:$B$11,0),MATCH($O145,Prijzen!$C$1:$P$1,0))))*0.58,0)),$N145*INDEX(Prijzen!$C$73:$P$94,MATCH($P145,Prijzen!$B$73:$B$94,0),MATCH($O145,Prijzen!$C$72:$P$72,0))),"")</f>
        <v/>
      </c>
      <c r="C145" s="260" t="inlineStr">
        <is>
          <t>EUR</t>
        </is>
      </c>
      <c r="D145" s="270" t="n">
        <v>1</v>
      </c>
      <c r="E145" s="305" t="n">
        <v>1</v>
      </c>
      <c r="F145" s="302">
        <f>IFERROR(B145*D145*E145,"")</f>
        <v/>
      </c>
      <c r="G145" s="244" t="n"/>
      <c r="I145" s="306" t="n"/>
      <c r="J145" s="306" t="n"/>
      <c r="K145" s="306" t="n"/>
      <c r="L145" s="306" t="n"/>
      <c r="M145" s="306" t="n"/>
      <c r="N145" s="307" t="n"/>
      <c r="O145" s="306" t="n"/>
      <c r="P145" s="306" t="n"/>
      <c r="Q145" s="306" t="n"/>
      <c r="R145" s="306" t="n"/>
      <c r="S145" s="306" t="n"/>
      <c r="U145" s="308" t="n"/>
    </row>
    <row r="146" hidden="1">
      <c r="A146" s="244">
        <f>IF(J146="","",_xlfn.CONCAT("Kous "&amp;I146&amp;" DN"&amp;P146&amp;" - "&amp;O146&amp;"mm - "&amp;N146&amp;"m - ("&amp;J146&amp;")"))</f>
        <v/>
      </c>
      <c r="B146" s="305">
        <f>IFERROR(IF($K146="UV",IF($S146="S+ liner",($N146*(INDEX(Prijzen!$C$15:$P$70,MATCH($P146,Prijzen!$B$15:$B$70,0),MATCH($O146,Prijzen!$C$14:$O$14,0)))*0.58),IF($S146="M liner",($N146*(INDEX(Prijzen!$C$2:$P$11,MATCH($P146,Prijzen!$B$2:$B$11,0),MATCH($O146,Prijzen!$C$1:$P$1,0))))*0.58,0)),$N146*INDEX(Prijzen!$C$73:$P$94,MATCH($P146,Prijzen!$B$73:$B$94,0),MATCH($O146,Prijzen!$C$72:$P$72,0))),"")</f>
        <v/>
      </c>
      <c r="C146" s="260" t="inlineStr">
        <is>
          <t>EUR</t>
        </is>
      </c>
      <c r="D146" s="270" t="n">
        <v>1</v>
      </c>
      <c r="E146" s="305" t="n">
        <v>1</v>
      </c>
      <c r="F146" s="302">
        <f>IFERROR(B146*D146*E146,"")</f>
        <v/>
      </c>
      <c r="G146" s="244" t="n"/>
      <c r="I146" s="306" t="n"/>
      <c r="J146" s="306" t="n"/>
      <c r="K146" s="306" t="n"/>
      <c r="L146" s="306" t="n"/>
      <c r="M146" s="306" t="n"/>
      <c r="N146" s="307" t="n"/>
      <c r="O146" s="306" t="n"/>
      <c r="P146" s="306" t="n"/>
      <c r="Q146" s="306" t="n"/>
      <c r="R146" s="306" t="n"/>
      <c r="S146" s="306" t="n"/>
      <c r="U146" s="308" t="n"/>
    </row>
    <row r="147" hidden="1">
      <c r="A147" s="244">
        <f>IF(J147="","",_xlfn.CONCAT("Kous "&amp;I147&amp;" DN"&amp;P147&amp;" - "&amp;O147&amp;"mm - "&amp;N147&amp;"m - ("&amp;J147&amp;")"))</f>
        <v/>
      </c>
      <c r="B147" s="305">
        <f>IFERROR(IF($K147="UV",IF($S147="S+ liner",($N147*(INDEX(Prijzen!$C$15:$P$70,MATCH($P147,Prijzen!$B$15:$B$70,0),MATCH($O147,Prijzen!$C$14:$O$14,0)))*0.58),IF($S147="M liner",($N147*(INDEX(Prijzen!$C$2:$P$11,MATCH($P147,Prijzen!$B$2:$B$11,0),MATCH($O147,Prijzen!$C$1:$P$1,0))))*0.58,0)),$N147*INDEX(Prijzen!$C$73:$P$94,MATCH($P147,Prijzen!$B$73:$B$94,0),MATCH($O147,Prijzen!$C$72:$P$72,0))),"")</f>
        <v/>
      </c>
      <c r="C147" s="260" t="inlineStr">
        <is>
          <t>EUR</t>
        </is>
      </c>
      <c r="D147" s="270" t="n">
        <v>1</v>
      </c>
      <c r="E147" s="305" t="n">
        <v>1</v>
      </c>
      <c r="F147" s="302">
        <f>IFERROR(B147*D147*E147,"")</f>
        <v/>
      </c>
      <c r="G147" s="244" t="n"/>
      <c r="I147" s="306" t="n"/>
      <c r="J147" s="306" t="n"/>
      <c r="K147" s="306" t="n"/>
      <c r="L147" s="306" t="n"/>
      <c r="M147" s="306" t="n"/>
      <c r="N147" s="307" t="n"/>
      <c r="O147" s="306" t="n"/>
      <c r="P147" s="306" t="n"/>
      <c r="Q147" s="306" t="n"/>
      <c r="R147" s="306" t="n"/>
      <c r="S147" s="306" t="n"/>
      <c r="U147" s="308" t="n"/>
    </row>
    <row r="148" hidden="1">
      <c r="A148" s="244">
        <f>IF(J148="","",_xlfn.CONCAT("Kous "&amp;I148&amp;" DN"&amp;P148&amp;" - "&amp;O148&amp;"mm - "&amp;N148&amp;"m - ("&amp;J148&amp;")"))</f>
        <v/>
      </c>
      <c r="B148" s="305">
        <f>IFERROR(IF($K148="UV",IF($S148="S+ liner",($N148*(INDEX(Prijzen!$C$15:$P$70,MATCH($P148,Prijzen!$B$15:$B$70,0),MATCH($O148,Prijzen!$C$14:$O$14,0)))*0.58),IF($S148="M liner",($N148*(INDEX(Prijzen!$C$2:$P$11,MATCH($P148,Prijzen!$B$2:$B$11,0),MATCH($O148,Prijzen!$C$1:$P$1,0))))*0.58,0)),$N148*INDEX(Prijzen!$C$73:$P$94,MATCH($P148,Prijzen!$B$73:$B$94,0),MATCH($O148,Prijzen!$C$72:$P$72,0))),"")</f>
        <v/>
      </c>
      <c r="C148" s="260" t="inlineStr">
        <is>
          <t>EUR</t>
        </is>
      </c>
      <c r="D148" s="270" t="n">
        <v>1</v>
      </c>
      <c r="E148" s="305" t="n">
        <v>1</v>
      </c>
      <c r="F148" s="302">
        <f>IFERROR(B148*D148*E148,"")</f>
        <v/>
      </c>
      <c r="G148" s="244" t="n"/>
      <c r="I148" s="306" t="n"/>
      <c r="J148" s="306" t="n"/>
      <c r="K148" s="306" t="n"/>
      <c r="L148" s="306" t="n"/>
      <c r="M148" s="306" t="n"/>
      <c r="N148" s="307" t="n"/>
      <c r="O148" s="306" t="n"/>
      <c r="P148" s="306" t="n"/>
      <c r="Q148" s="306" t="n"/>
      <c r="R148" s="306" t="n"/>
      <c r="S148" s="306" t="n"/>
      <c r="U148" s="308" t="n"/>
    </row>
    <row r="149" hidden="1">
      <c r="A149" s="244">
        <f>IF(J149="","",_xlfn.CONCAT("Kous "&amp;I149&amp;" DN"&amp;P149&amp;" - "&amp;O149&amp;"mm - "&amp;N149&amp;"m - ("&amp;J149&amp;")"))</f>
        <v/>
      </c>
      <c r="B149" s="305">
        <f>IFERROR(IF($K149="UV",IF($S149="S+ liner",($N149*(INDEX(Prijzen!$C$15:$P$70,MATCH($P149,Prijzen!$B$15:$B$70,0),MATCH($O149,Prijzen!$C$14:$O$14,0)))*0.58),IF($S149="M liner",($N149*(INDEX(Prijzen!$C$2:$P$11,MATCH($P149,Prijzen!$B$2:$B$11,0),MATCH($O149,Prijzen!$C$1:$P$1,0))))*0.58,0)),$N149*INDEX(Prijzen!$C$73:$P$94,MATCH($P149,Prijzen!$B$73:$B$94,0),MATCH($O149,Prijzen!$C$72:$P$72,0))),"")</f>
        <v/>
      </c>
      <c r="C149" s="260" t="inlineStr">
        <is>
          <t>EUR</t>
        </is>
      </c>
      <c r="D149" s="270" t="n">
        <v>1</v>
      </c>
      <c r="E149" s="305" t="n">
        <v>1</v>
      </c>
      <c r="F149" s="302">
        <f>IFERROR(B149*D149*E149,"")</f>
        <v/>
      </c>
      <c r="G149" s="244" t="n"/>
      <c r="I149" s="306" t="n"/>
      <c r="J149" s="306" t="n"/>
      <c r="K149" s="306" t="n"/>
      <c r="L149" s="306" t="n"/>
      <c r="M149" s="306" t="n"/>
      <c r="N149" s="307" t="n"/>
      <c r="O149" s="306" t="n"/>
      <c r="P149" s="306" t="n"/>
      <c r="Q149" s="306" t="n"/>
      <c r="R149" s="306" t="n"/>
      <c r="S149" s="306" t="n"/>
      <c r="U149" s="308" t="n"/>
    </row>
    <row r="150" hidden="1">
      <c r="A150" s="244">
        <f>IF(J150="","",_xlfn.CONCAT("Kous "&amp;I150&amp;" DN"&amp;P150&amp;" - "&amp;O150&amp;"mm - "&amp;N150&amp;"m - ("&amp;J150&amp;")"))</f>
        <v/>
      </c>
      <c r="B150" s="305">
        <f>IFERROR(IF($K150="UV",IF($S150="S+ liner",($N150*(INDEX(Prijzen!$C$15:$P$70,MATCH($P150,Prijzen!$B$15:$B$70,0),MATCH($O150,Prijzen!$C$14:$O$14,0)))*0.58),IF($S150="M liner",($N150*(INDEX(Prijzen!$C$2:$P$11,MATCH($P150,Prijzen!$B$2:$B$11,0),MATCH($O150,Prijzen!$C$1:$P$1,0))))*0.58,0)),$N150*INDEX(Prijzen!$C$73:$P$94,MATCH($P150,Prijzen!$B$73:$B$94,0),MATCH($O150,Prijzen!$C$72:$P$72,0))),"")</f>
        <v/>
      </c>
      <c r="C150" s="260" t="inlineStr">
        <is>
          <t>EUR</t>
        </is>
      </c>
      <c r="D150" s="270" t="n">
        <v>1</v>
      </c>
      <c r="E150" s="305" t="n">
        <v>1</v>
      </c>
      <c r="F150" s="302">
        <f>IFERROR(B150*D150*E150,"")</f>
        <v/>
      </c>
      <c r="G150" s="244" t="n"/>
      <c r="I150" s="306" t="n"/>
      <c r="J150" s="306" t="n"/>
      <c r="K150" s="306" t="n"/>
      <c r="L150" s="306" t="n"/>
      <c r="M150" s="306" t="n"/>
      <c r="N150" s="307" t="n"/>
      <c r="O150" s="306" t="n"/>
      <c r="P150" s="306" t="n"/>
      <c r="Q150" s="306" t="n"/>
      <c r="R150" s="306" t="n"/>
      <c r="S150" s="306" t="n"/>
      <c r="U150" s="308" t="n"/>
    </row>
    <row r="151" hidden="1">
      <c r="A151" s="244">
        <f>IF(J151="","",_xlfn.CONCAT("Kous "&amp;I151&amp;" DN"&amp;P151&amp;" - "&amp;O151&amp;"mm - "&amp;N151&amp;"m - ("&amp;J151&amp;")"))</f>
        <v/>
      </c>
      <c r="B151" s="305">
        <f>IFERROR(IF($K151="UV",IF($S151="S+ liner",($N151*(INDEX(Prijzen!$C$15:$P$70,MATCH($P151,Prijzen!$B$15:$B$70,0),MATCH($O151,Prijzen!$C$14:$O$14,0)))*0.58),IF($S151="M liner",($N151*(INDEX(Prijzen!$C$2:$P$11,MATCH($P151,Prijzen!$B$2:$B$11,0),MATCH($O151,Prijzen!$C$1:$P$1,0))))*0.58,0)),$N151*INDEX(Prijzen!$C$73:$P$94,MATCH($P151,Prijzen!$B$73:$B$94,0),MATCH($O151,Prijzen!$C$72:$P$72,0))),"")</f>
        <v/>
      </c>
      <c r="C151" s="260" t="inlineStr">
        <is>
          <t>EUR</t>
        </is>
      </c>
      <c r="D151" s="270" t="n">
        <v>1</v>
      </c>
      <c r="E151" s="305" t="n">
        <v>1</v>
      </c>
      <c r="F151" s="302">
        <f>IFERROR(B151*D151*E151,"")</f>
        <v/>
      </c>
      <c r="G151" s="244" t="n"/>
      <c r="I151" s="306" t="n"/>
      <c r="J151" s="306" t="n"/>
      <c r="K151" s="306" t="n"/>
      <c r="L151" s="306" t="n"/>
      <c r="M151" s="306" t="n"/>
      <c r="N151" s="307" t="n"/>
      <c r="O151" s="306" t="n"/>
      <c r="P151" s="306" t="n"/>
      <c r="Q151" s="306" t="n"/>
      <c r="R151" s="306" t="n"/>
      <c r="S151" s="306" t="n"/>
      <c r="U151" s="308" t="n"/>
    </row>
    <row r="152" hidden="1">
      <c r="A152" s="244">
        <f>IF(J152="","",_xlfn.CONCAT("Kous "&amp;I152&amp;" DN"&amp;P152&amp;" - "&amp;O152&amp;"mm - "&amp;N152&amp;"m - ("&amp;J152&amp;")"))</f>
        <v/>
      </c>
      <c r="B152" s="305">
        <f>IFERROR(IF($K152="UV",IF($S152="S+ liner",($N152*(INDEX(Prijzen!$C$15:$P$70,MATCH($P152,Prijzen!$B$15:$B$70,0),MATCH($O152,Prijzen!$C$14:$O$14,0)))*0.58),IF($S152="M liner",($N152*(INDEX(Prijzen!$C$2:$P$11,MATCH($P152,Prijzen!$B$2:$B$11,0),MATCH($O152,Prijzen!$C$1:$P$1,0))))*0.58,0)),$N152*INDEX(Prijzen!$C$73:$P$94,MATCH($P152,Prijzen!$B$73:$B$94,0),MATCH($O152,Prijzen!$C$72:$P$72,0))),"")</f>
        <v/>
      </c>
      <c r="C152" s="260" t="inlineStr">
        <is>
          <t>EUR</t>
        </is>
      </c>
      <c r="D152" s="270" t="n">
        <v>1</v>
      </c>
      <c r="E152" s="305" t="n">
        <v>1</v>
      </c>
      <c r="F152" s="302">
        <f>IFERROR(B152*D152*E152,"")</f>
        <v/>
      </c>
      <c r="G152" s="244" t="n"/>
      <c r="I152" s="306" t="n"/>
      <c r="J152" s="306" t="n"/>
      <c r="K152" s="306" t="n"/>
      <c r="L152" s="306" t="n"/>
      <c r="M152" s="306" t="n"/>
      <c r="N152" s="307" t="n"/>
      <c r="O152" s="306" t="n"/>
      <c r="P152" s="306" t="n"/>
      <c r="Q152" s="306" t="n"/>
      <c r="R152" s="306" t="n"/>
      <c r="S152" s="306" t="n"/>
      <c r="U152" s="308" t="n"/>
    </row>
    <row r="153" hidden="1">
      <c r="A153" s="244">
        <f>IF(J153="","",_xlfn.CONCAT("Kous "&amp;I153&amp;" DN"&amp;P153&amp;" - "&amp;O153&amp;"mm - "&amp;N153&amp;"m - ("&amp;J153&amp;")"))</f>
        <v/>
      </c>
      <c r="B153" s="305">
        <f>IFERROR(IF($K153="UV",IF($S153="S+ liner",($N153*(INDEX(Prijzen!$C$15:$P$70,MATCH($P153,Prijzen!$B$15:$B$70,0),MATCH($O153,Prijzen!$C$14:$O$14,0)))*0.58),IF($S153="M liner",($N153*(INDEX(Prijzen!$C$2:$P$11,MATCH($P153,Prijzen!$B$2:$B$11,0),MATCH($O153,Prijzen!$C$1:$P$1,0))))*0.58,0)),$N153*INDEX(Prijzen!$C$73:$P$94,MATCH($P153,Prijzen!$B$73:$B$94,0),MATCH($O153,Prijzen!$C$72:$P$72,0))),"")</f>
        <v/>
      </c>
      <c r="C153" s="260" t="inlineStr">
        <is>
          <t>EUR</t>
        </is>
      </c>
      <c r="D153" s="270" t="n">
        <v>1</v>
      </c>
      <c r="E153" s="305" t="n">
        <v>1</v>
      </c>
      <c r="F153" s="302">
        <f>IFERROR(B153*D153*E153,"")</f>
        <v/>
      </c>
      <c r="G153" s="244" t="n"/>
      <c r="I153" s="306" t="n"/>
      <c r="J153" s="306" t="n"/>
      <c r="K153" s="306" t="n"/>
      <c r="L153" s="306" t="n"/>
      <c r="M153" s="306" t="n"/>
      <c r="N153" s="307" t="n"/>
      <c r="O153" s="306" t="n"/>
      <c r="P153" s="306" t="n"/>
      <c r="Q153" s="306" t="n"/>
      <c r="R153" s="306" t="n"/>
      <c r="S153" s="306" t="n"/>
      <c r="U153" s="308" t="n"/>
    </row>
    <row r="154" hidden="1">
      <c r="A154" s="244">
        <f>IF(J154="","",_xlfn.CONCAT("Kous "&amp;I154&amp;" DN"&amp;P154&amp;" - "&amp;O154&amp;"mm - "&amp;N154&amp;"m - ("&amp;J154&amp;")"))</f>
        <v/>
      </c>
      <c r="B154" s="305">
        <f>IFERROR(IF($K154="UV",IF($S154="S+ liner",($N154*(INDEX(Prijzen!$C$15:$P$70,MATCH($P154,Prijzen!$B$15:$B$70,0),MATCH($O154,Prijzen!$C$14:$O$14,0)))*0.58),IF($S154="M liner",($N154*(INDEX(Prijzen!$C$2:$P$11,MATCH($P154,Prijzen!$B$2:$B$11,0),MATCH($O154,Prijzen!$C$1:$P$1,0))))*0.58,0)),$N154*INDEX(Prijzen!$C$73:$P$94,MATCH($P154,Prijzen!$B$73:$B$94,0),MATCH($O154,Prijzen!$C$72:$P$72,0))),"")</f>
        <v/>
      </c>
      <c r="C154" s="260" t="inlineStr">
        <is>
          <t>EUR</t>
        </is>
      </c>
      <c r="D154" s="270" t="n">
        <v>1</v>
      </c>
      <c r="E154" s="305" t="n">
        <v>1</v>
      </c>
      <c r="F154" s="302">
        <f>IFERROR(B154*D154*E154,"")</f>
        <v/>
      </c>
      <c r="G154" s="244" t="n"/>
      <c r="I154" s="306" t="n"/>
      <c r="J154" s="306" t="n"/>
      <c r="K154" s="306" t="n"/>
      <c r="L154" s="306" t="n"/>
      <c r="M154" s="306" t="n"/>
      <c r="N154" s="307" t="n"/>
      <c r="O154" s="306" t="n"/>
      <c r="P154" s="306" t="n"/>
      <c r="Q154" s="306" t="n"/>
      <c r="R154" s="306" t="n"/>
      <c r="S154" s="306" t="n"/>
      <c r="U154" s="308" t="n"/>
    </row>
    <row r="155" hidden="1">
      <c r="A155" s="244">
        <f>IF(J155="","",_xlfn.CONCAT("Kous "&amp;I155&amp;" DN"&amp;P155&amp;" - "&amp;O155&amp;"mm - "&amp;N155&amp;"m - ("&amp;J155&amp;")"))</f>
        <v/>
      </c>
      <c r="B155" s="305">
        <f>IFERROR(IF($K155="UV",IF($S155="S+ liner",($N155*(INDEX(Prijzen!$C$15:$P$70,MATCH($P155,Prijzen!$B$15:$B$70,0),MATCH($O155,Prijzen!$C$14:$O$14,0)))*0.58),IF($S155="M liner",($N155*(INDEX(Prijzen!$C$2:$P$11,MATCH($P155,Prijzen!$B$2:$B$11,0),MATCH($O155,Prijzen!$C$1:$P$1,0))))*0.58,0)),$N155*INDEX(Prijzen!$C$73:$P$94,MATCH($P155,Prijzen!$B$73:$B$94,0),MATCH($O155,Prijzen!$C$72:$P$72,0))),"")</f>
        <v/>
      </c>
      <c r="C155" s="260" t="inlineStr">
        <is>
          <t>EUR</t>
        </is>
      </c>
      <c r="D155" s="270" t="n">
        <v>1</v>
      </c>
      <c r="E155" s="305" t="n">
        <v>1</v>
      </c>
      <c r="F155" s="302">
        <f>IFERROR(B155*D155*E155,"")</f>
        <v/>
      </c>
      <c r="G155" s="244" t="n"/>
      <c r="I155" s="306" t="n"/>
      <c r="J155" s="306" t="n"/>
      <c r="K155" s="306" t="n"/>
      <c r="L155" s="306" t="n"/>
      <c r="M155" s="306" t="n"/>
      <c r="N155" s="307" t="n"/>
      <c r="O155" s="306" t="n"/>
      <c r="P155" s="306" t="n"/>
      <c r="Q155" s="306" t="n"/>
      <c r="R155" s="306" t="n"/>
      <c r="S155" s="306" t="n"/>
      <c r="U155" s="308" t="n"/>
    </row>
    <row r="156" hidden="1">
      <c r="A156" s="244">
        <f>IF(J156="","",_xlfn.CONCAT("Kous "&amp;I156&amp;" DN"&amp;P156&amp;" - "&amp;O156&amp;"mm - "&amp;N156&amp;"m - ("&amp;J156&amp;")"))</f>
        <v/>
      </c>
      <c r="B156" s="305">
        <f>IFERROR(IF($K156="UV",IF($S156="S+ liner",($N156*(INDEX(Prijzen!$C$15:$P$70,MATCH($P156,Prijzen!$B$15:$B$70,0),MATCH($O156,Prijzen!$C$14:$O$14,0)))*0.58),IF($S156="M liner",($N156*(INDEX(Prijzen!$C$2:$P$11,MATCH($P156,Prijzen!$B$2:$B$11,0),MATCH($O156,Prijzen!$C$1:$P$1,0))))*0.58,0)),$N156*INDEX(Prijzen!$C$73:$P$94,MATCH($P156,Prijzen!$B$73:$B$94,0),MATCH($O156,Prijzen!$C$72:$P$72,0))),"")</f>
        <v/>
      </c>
      <c r="C156" s="260" t="inlineStr">
        <is>
          <t>EUR</t>
        </is>
      </c>
      <c r="D156" s="270" t="n">
        <v>1</v>
      </c>
      <c r="E156" s="305" t="n">
        <v>1</v>
      </c>
      <c r="F156" s="302">
        <f>IFERROR(B156*D156*E156,"")</f>
        <v/>
      </c>
      <c r="G156" s="244" t="n"/>
      <c r="I156" s="306" t="n"/>
      <c r="J156" s="306" t="n"/>
      <c r="K156" s="306" t="n"/>
      <c r="L156" s="306" t="n"/>
      <c r="M156" s="306" t="n"/>
      <c r="N156" s="307" t="n"/>
      <c r="O156" s="306" t="n"/>
      <c r="P156" s="306" t="n"/>
      <c r="Q156" s="306" t="n"/>
      <c r="R156" s="306" t="n"/>
      <c r="S156" s="306" t="n"/>
      <c r="U156" s="308" t="n"/>
    </row>
    <row r="157" hidden="1">
      <c r="A157" s="244">
        <f>IF(J157="","",_xlfn.CONCAT("Kous "&amp;I157&amp;" DN"&amp;P157&amp;" - "&amp;O157&amp;"mm - "&amp;N157&amp;"m - ("&amp;J157&amp;")"))</f>
        <v/>
      </c>
      <c r="B157" s="305">
        <f>IFERROR(IF($K157="UV",IF($S157="S+ liner",($N157*(INDEX(Prijzen!$C$15:$P$70,MATCH($P157,Prijzen!$B$15:$B$70,0),MATCH($O157,Prijzen!$C$14:$O$14,0)))*0.58),IF($S157="M liner",($N157*(INDEX(Prijzen!$C$2:$P$11,MATCH($P157,Prijzen!$B$2:$B$11,0),MATCH($O157,Prijzen!$C$1:$P$1,0))))*0.58,0)),$N157*INDEX(Prijzen!$C$73:$P$94,MATCH($P157,Prijzen!$B$73:$B$94,0),MATCH($O157,Prijzen!$C$72:$P$72,0))),"")</f>
        <v/>
      </c>
      <c r="C157" s="260" t="inlineStr">
        <is>
          <t>EUR</t>
        </is>
      </c>
      <c r="D157" s="270" t="n">
        <v>1</v>
      </c>
      <c r="E157" s="305" t="n">
        <v>1</v>
      </c>
      <c r="F157" s="302">
        <f>IFERROR(B157*D157*E157,"")</f>
        <v/>
      </c>
      <c r="G157" s="244" t="n"/>
      <c r="I157" s="306" t="n"/>
      <c r="J157" s="306" t="n"/>
      <c r="K157" s="306" t="n"/>
      <c r="L157" s="306" t="n"/>
      <c r="M157" s="306" t="n"/>
      <c r="N157" s="307" t="n"/>
      <c r="O157" s="306" t="n"/>
      <c r="P157" s="306" t="n"/>
      <c r="Q157" s="306" t="n"/>
      <c r="R157" s="306" t="n"/>
      <c r="S157" s="306" t="n"/>
      <c r="U157" s="308" t="n"/>
    </row>
    <row r="158" hidden="1">
      <c r="A158" s="244">
        <f>IF(J158="","",_xlfn.CONCAT("Kous "&amp;I158&amp;" DN"&amp;P158&amp;" - "&amp;O158&amp;"mm - "&amp;N158&amp;"m - ("&amp;J158&amp;")"))</f>
        <v/>
      </c>
      <c r="B158" s="305">
        <f>IFERROR(IF($K158="UV",IF($S158="S+ liner",($N158*(INDEX(Prijzen!$C$15:$P$70,MATCH($P158,Prijzen!$B$15:$B$70,0),MATCH($O158,Prijzen!$C$14:$O$14,0)))*0.58),IF($S158="M liner",($N158*(INDEX(Prijzen!$C$2:$P$11,MATCH($P158,Prijzen!$B$2:$B$11,0),MATCH($O158,Prijzen!$C$1:$P$1,0))))*0.58,0)),$N158*INDEX(Prijzen!$C$73:$P$94,MATCH($P158,Prijzen!$B$73:$B$94,0),MATCH($O158,Prijzen!$C$72:$P$72,0))),"")</f>
        <v/>
      </c>
      <c r="C158" s="260" t="inlineStr">
        <is>
          <t>EUR</t>
        </is>
      </c>
      <c r="D158" s="270" t="n">
        <v>1</v>
      </c>
      <c r="E158" s="305" t="n">
        <v>1</v>
      </c>
      <c r="F158" s="302">
        <f>IFERROR(B158*D158*E158,"")</f>
        <v/>
      </c>
      <c r="G158" s="244" t="n"/>
      <c r="I158" s="306" t="n"/>
      <c r="J158" s="306" t="n"/>
      <c r="K158" s="306" t="n"/>
      <c r="L158" s="306" t="n"/>
      <c r="M158" s="306" t="n"/>
      <c r="N158" s="307" t="n"/>
      <c r="O158" s="306" t="n"/>
      <c r="P158" s="306" t="n"/>
      <c r="Q158" s="306" t="n"/>
      <c r="R158" s="306" t="n"/>
      <c r="S158" s="306" t="n"/>
      <c r="U158" s="308" t="n"/>
    </row>
    <row r="159" hidden="1">
      <c r="A159" s="244">
        <f>IF(J159="","",_xlfn.CONCAT("Kous "&amp;I159&amp;" DN"&amp;P159&amp;" - "&amp;O159&amp;"mm - "&amp;N159&amp;"m - ("&amp;J159&amp;")"))</f>
        <v/>
      </c>
      <c r="B159" s="305">
        <f>IFERROR(IF($K159="UV",IF($S159="S+ liner",($N159*(INDEX(Prijzen!$C$15:$P$70,MATCH($P159,Prijzen!$B$15:$B$70,0),MATCH($O159,Prijzen!$C$14:$O$14,0)))*0.58),IF($S159="M liner",($N159*(INDEX(Prijzen!$C$2:$P$11,MATCH($P159,Prijzen!$B$2:$B$11,0),MATCH($O159,Prijzen!$C$1:$P$1,0))))*0.58,0)),$N159*INDEX(Prijzen!$C$73:$P$94,MATCH($P159,Prijzen!$B$73:$B$94,0),MATCH($O159,Prijzen!$C$72:$P$72,0))),"")</f>
        <v/>
      </c>
      <c r="C159" s="260" t="inlineStr">
        <is>
          <t>EUR</t>
        </is>
      </c>
      <c r="D159" s="270" t="n">
        <v>1</v>
      </c>
      <c r="E159" s="305" t="n">
        <v>1</v>
      </c>
      <c r="F159" s="302">
        <f>IFERROR(B159*D159*E159,"")</f>
        <v/>
      </c>
      <c r="G159" s="244" t="n"/>
      <c r="I159" s="306" t="n"/>
      <c r="J159" s="306" t="n"/>
      <c r="K159" s="306" t="n"/>
      <c r="L159" s="306" t="n"/>
      <c r="M159" s="306" t="n"/>
      <c r="N159" s="307" t="n"/>
      <c r="O159" s="306" t="n"/>
      <c r="P159" s="306" t="n"/>
      <c r="Q159" s="306" t="n"/>
      <c r="R159" s="306" t="n"/>
      <c r="S159" s="306" t="n"/>
      <c r="U159" s="308" t="n"/>
    </row>
    <row r="160" hidden="1">
      <c r="A160" s="244">
        <f>IF(J160="","",_xlfn.CONCAT("Kous "&amp;I160&amp;" DN"&amp;P160&amp;" - "&amp;O160&amp;"mm - "&amp;N160&amp;"m - ("&amp;J160&amp;")"))</f>
        <v/>
      </c>
      <c r="B160" s="305">
        <f>IFERROR(IF($K160="UV",IF($S160="S+ liner",($N160*(INDEX(Prijzen!$C$15:$P$70,MATCH($P160,Prijzen!$B$15:$B$70,0),MATCH($O160,Prijzen!$C$14:$O$14,0)))*0.58),IF($S160="M liner",($N160*(INDEX(Prijzen!$C$2:$P$11,MATCH($P160,Prijzen!$B$2:$B$11,0),MATCH($O160,Prijzen!$C$1:$P$1,0))))*0.58,0)),$N160*INDEX(Prijzen!$C$73:$P$94,MATCH($P160,Prijzen!$B$73:$B$94,0),MATCH($O160,Prijzen!$C$72:$P$72,0))),"")</f>
        <v/>
      </c>
      <c r="C160" s="260" t="inlineStr">
        <is>
          <t>EUR</t>
        </is>
      </c>
      <c r="D160" s="270" t="n">
        <v>1</v>
      </c>
      <c r="E160" s="305" t="n">
        <v>1</v>
      </c>
      <c r="F160" s="302">
        <f>IFERROR(B160*D160*E160,"")</f>
        <v/>
      </c>
      <c r="G160" s="244" t="n"/>
      <c r="I160" s="306" t="n"/>
      <c r="J160" s="306" t="n"/>
      <c r="K160" s="306" t="n"/>
      <c r="L160" s="306" t="n"/>
      <c r="M160" s="306" t="n"/>
      <c r="N160" s="307" t="n"/>
      <c r="O160" s="306" t="n"/>
      <c r="P160" s="306" t="n"/>
      <c r="Q160" s="306" t="n"/>
      <c r="R160" s="306" t="n"/>
      <c r="S160" s="306" t="n"/>
      <c r="U160" s="308" t="n"/>
    </row>
    <row r="161" hidden="1">
      <c r="A161" s="244">
        <f>IF(J161="","",_xlfn.CONCAT("Kous "&amp;I161&amp;" DN"&amp;P161&amp;" - "&amp;O161&amp;"mm - "&amp;N161&amp;"m - ("&amp;J161&amp;")"))</f>
        <v/>
      </c>
      <c r="B161" s="305">
        <f>IFERROR(IF($K161="UV",IF($S161="S+ liner",($N161*(INDEX(Prijzen!$C$15:$P$70,MATCH($P161,Prijzen!$B$15:$B$70,0),MATCH($O161,Prijzen!$C$14:$O$14,0)))*0.58),IF($S161="M liner",($N161*(INDEX(Prijzen!$C$2:$P$11,MATCH($P161,Prijzen!$B$2:$B$11,0),MATCH($O161,Prijzen!$C$1:$P$1,0))))*0.58,0)),$N161*INDEX(Prijzen!$C$73:$P$94,MATCH($P161,Prijzen!$B$73:$B$94,0),MATCH($O161,Prijzen!$C$72:$P$72,0))),"")</f>
        <v/>
      </c>
      <c r="C161" s="260" t="inlineStr">
        <is>
          <t>EUR</t>
        </is>
      </c>
      <c r="D161" s="270" t="n">
        <v>1</v>
      </c>
      <c r="E161" s="305" t="n">
        <v>1</v>
      </c>
      <c r="F161" s="302">
        <f>IFERROR(B161*D161*E161,"")</f>
        <v/>
      </c>
      <c r="G161" s="244" t="n"/>
      <c r="I161" s="306" t="n"/>
      <c r="J161" s="306" t="n"/>
      <c r="K161" s="306" t="n"/>
      <c r="L161" s="306" t="n"/>
      <c r="M161" s="306" t="n"/>
      <c r="N161" s="307" t="n"/>
      <c r="O161" s="306" t="n"/>
      <c r="P161" s="306" t="n"/>
      <c r="Q161" s="306" t="n"/>
      <c r="R161" s="306" t="n"/>
      <c r="S161" s="306" t="n"/>
      <c r="U161" s="308" t="n"/>
    </row>
    <row r="162" hidden="1">
      <c r="A162" s="244">
        <f>IF(J162="","",_xlfn.CONCAT("Kous "&amp;I162&amp;" DN"&amp;P162&amp;" - "&amp;O162&amp;"mm - "&amp;N162&amp;"m - ("&amp;J162&amp;")"))</f>
        <v/>
      </c>
      <c r="B162" s="305">
        <f>IFERROR(IF($K162="UV",IF($S162="S+ liner",($N162*(INDEX(Prijzen!$C$15:$P$70,MATCH($P162,Prijzen!$B$15:$B$70,0),MATCH($O162,Prijzen!$C$14:$O$14,0)))*0.58),IF($S162="M liner",($N162*(INDEX(Prijzen!$C$2:$P$11,MATCH($P162,Prijzen!$B$2:$B$11,0),MATCH($O162,Prijzen!$C$1:$P$1,0))))*0.58,0)),$N162*INDEX(Prijzen!$C$73:$P$94,MATCH($P162,Prijzen!$B$73:$B$94,0),MATCH($O162,Prijzen!$C$72:$P$72,0))),"")</f>
        <v/>
      </c>
      <c r="C162" s="260" t="inlineStr">
        <is>
          <t>EUR</t>
        </is>
      </c>
      <c r="D162" s="270" t="n">
        <v>1</v>
      </c>
      <c r="E162" s="305" t="n">
        <v>1</v>
      </c>
      <c r="F162" s="302">
        <f>IFERROR(B162*D162*E162,"")</f>
        <v/>
      </c>
      <c r="G162" s="244" t="n"/>
      <c r="I162" s="306" t="n"/>
      <c r="J162" s="306" t="n"/>
      <c r="K162" s="306" t="n"/>
      <c r="L162" s="306" t="n"/>
      <c r="M162" s="306" t="n"/>
      <c r="N162" s="307" t="n"/>
      <c r="O162" s="306" t="n"/>
      <c r="P162" s="306" t="n"/>
      <c r="Q162" s="306" t="n"/>
      <c r="R162" s="306" t="n"/>
      <c r="S162" s="306" t="n"/>
      <c r="U162" s="308" t="n"/>
    </row>
    <row r="163" hidden="1">
      <c r="A163" s="244">
        <f>IF(J163="","",_xlfn.CONCAT("Kous "&amp;I163&amp;" DN"&amp;P163&amp;" - "&amp;O163&amp;"mm - "&amp;N163&amp;"m - ("&amp;J163&amp;")"))</f>
        <v/>
      </c>
      <c r="B163" s="305">
        <f>IFERROR(IF($K163="UV",IF($S163="S+ liner",($N163*(INDEX(Prijzen!$C$15:$P$70,MATCH($P163,Prijzen!$B$15:$B$70,0),MATCH($O163,Prijzen!$C$14:$O$14,0)))*0.58),IF($S163="M liner",($N163*(INDEX(Prijzen!$C$2:$P$11,MATCH($P163,Prijzen!$B$2:$B$11,0),MATCH($O163,Prijzen!$C$1:$P$1,0))))*0.58,0)),$N163*INDEX(Prijzen!$C$73:$P$94,MATCH($P163,Prijzen!$B$73:$B$94,0),MATCH($O163,Prijzen!$C$72:$P$72,0))),"")</f>
        <v/>
      </c>
      <c r="C163" s="260" t="inlineStr">
        <is>
          <t>EUR</t>
        </is>
      </c>
      <c r="D163" s="270" t="n">
        <v>1</v>
      </c>
      <c r="E163" s="305" t="n">
        <v>1</v>
      </c>
      <c r="F163" s="302">
        <f>IFERROR(B163*D163*E163,"")</f>
        <v/>
      </c>
      <c r="G163" s="244" t="n"/>
      <c r="I163" s="306" t="n"/>
      <c r="J163" s="306" t="n"/>
      <c r="K163" s="306" t="n"/>
      <c r="L163" s="306" t="n"/>
      <c r="M163" s="306" t="n"/>
      <c r="N163" s="307" t="n"/>
      <c r="O163" s="306" t="n"/>
      <c r="P163" s="306" t="n"/>
      <c r="Q163" s="306" t="n"/>
      <c r="R163" s="306" t="n"/>
      <c r="S163" s="306" t="n"/>
      <c r="U163" s="308" t="n"/>
    </row>
    <row r="164" hidden="1">
      <c r="A164" s="244">
        <f>IF(J164="","",_xlfn.CONCAT("Kous "&amp;I164&amp;" DN"&amp;P164&amp;" - "&amp;O164&amp;"mm - "&amp;N164&amp;"m - ("&amp;J164&amp;")"))</f>
        <v/>
      </c>
      <c r="B164" s="305">
        <f>IFERROR(IF($K164="UV",IF($S164="S+ liner",($N164*(INDEX(Prijzen!$C$15:$P$70,MATCH($P164,Prijzen!$B$15:$B$70,0),MATCH($O164,Prijzen!$C$14:$O$14,0)))*0.58),IF($S164="M liner",($N164*(INDEX(Prijzen!$C$2:$P$11,MATCH($P164,Prijzen!$B$2:$B$11,0),MATCH($O164,Prijzen!$C$1:$P$1,0))))*0.58,0)),$N164*INDEX(Prijzen!$C$73:$P$94,MATCH($P164,Prijzen!$B$73:$B$94,0),MATCH($O164,Prijzen!$C$72:$P$72,0))),"")</f>
        <v/>
      </c>
      <c r="C164" s="260" t="inlineStr">
        <is>
          <t>EUR</t>
        </is>
      </c>
      <c r="D164" s="270" t="n">
        <v>1</v>
      </c>
      <c r="E164" s="305" t="n">
        <v>1</v>
      </c>
      <c r="F164" s="302">
        <f>IFERROR(B164*D164*E164,"")</f>
        <v/>
      </c>
      <c r="G164" s="244" t="n"/>
      <c r="I164" s="306" t="n"/>
      <c r="J164" s="306" t="n"/>
      <c r="K164" s="306" t="n"/>
      <c r="L164" s="306" t="n"/>
      <c r="M164" s="306" t="n"/>
      <c r="N164" s="307" t="n"/>
      <c r="O164" s="306" t="n"/>
      <c r="P164" s="306" t="n"/>
      <c r="Q164" s="306" t="n"/>
      <c r="R164" s="306" t="n"/>
      <c r="S164" s="306" t="n"/>
      <c r="U164" s="308" t="n"/>
    </row>
    <row r="165" hidden="1">
      <c r="A165" s="244">
        <f>IF(J165="","",_xlfn.CONCAT("Kous "&amp;I165&amp;" DN"&amp;P165&amp;" - "&amp;O165&amp;"mm - "&amp;N165&amp;"m - ("&amp;J165&amp;")"))</f>
        <v/>
      </c>
      <c r="B165" s="305">
        <f>IFERROR(IF($K165="UV",IF($S165="S+ liner",($N165*(INDEX(Prijzen!$C$15:$P$70,MATCH($P165,Prijzen!$B$15:$B$70,0),MATCH($O165,Prijzen!$C$14:$O$14,0)))*0.58),IF($S165="M liner",($N165*(INDEX(Prijzen!$C$2:$P$11,MATCH($P165,Prijzen!$B$2:$B$11,0),MATCH($O165,Prijzen!$C$1:$P$1,0))))*0.58,0)),$N165*INDEX(Prijzen!$C$73:$P$94,MATCH($P165,Prijzen!$B$73:$B$94,0),MATCH($O165,Prijzen!$C$72:$P$72,0))),"")</f>
        <v/>
      </c>
      <c r="C165" s="260" t="inlineStr">
        <is>
          <t>EUR</t>
        </is>
      </c>
      <c r="D165" s="270" t="n">
        <v>1</v>
      </c>
      <c r="E165" s="305" t="n">
        <v>1</v>
      </c>
      <c r="F165" s="302">
        <f>IFERROR(B165*D165*E165,"")</f>
        <v/>
      </c>
      <c r="G165" s="244" t="n"/>
      <c r="I165" s="306" t="n"/>
      <c r="J165" s="306" t="n"/>
      <c r="K165" s="306" t="n"/>
      <c r="L165" s="306" t="n"/>
      <c r="M165" s="306" t="n"/>
      <c r="N165" s="307" t="n"/>
      <c r="O165" s="306" t="n"/>
      <c r="P165" s="306" t="n"/>
      <c r="Q165" s="306" t="n"/>
      <c r="R165" s="306" t="n"/>
      <c r="S165" s="306" t="n"/>
      <c r="U165" s="308" t="n"/>
    </row>
    <row r="166" hidden="1">
      <c r="A166" s="244">
        <f>IF(J166="","",_xlfn.CONCAT("Kous "&amp;I166&amp;" DN"&amp;P166&amp;" - "&amp;O166&amp;"mm - "&amp;N166&amp;"m - ("&amp;J166&amp;")"))</f>
        <v/>
      </c>
      <c r="B166" s="305">
        <f>IFERROR(IF($K166="UV",IF($S166="S+ liner",($N166*(INDEX(Prijzen!$C$15:$P$70,MATCH($P166,Prijzen!$B$15:$B$70,0),MATCH($O166,Prijzen!$C$14:$O$14,0)))*0.58),IF($S166="M liner",($N166*(INDEX(Prijzen!$C$2:$P$11,MATCH($P166,Prijzen!$B$2:$B$11,0),MATCH($O166,Prijzen!$C$1:$P$1,0))))*0.58,0)),$N166*INDEX(Prijzen!$C$73:$P$94,MATCH($P166,Prijzen!$B$73:$B$94,0),MATCH($O166,Prijzen!$C$72:$P$72,0))),"")</f>
        <v/>
      </c>
      <c r="C166" s="260" t="inlineStr">
        <is>
          <t>EUR</t>
        </is>
      </c>
      <c r="D166" s="270" t="n">
        <v>1</v>
      </c>
      <c r="E166" s="305" t="n">
        <v>1</v>
      </c>
      <c r="F166" s="302">
        <f>IFERROR(B166*D166*E166,"")</f>
        <v/>
      </c>
      <c r="G166" s="244" t="n"/>
      <c r="I166" s="306" t="n"/>
      <c r="J166" s="306" t="n"/>
      <c r="K166" s="306" t="n"/>
      <c r="L166" s="306" t="n"/>
      <c r="M166" s="306" t="n"/>
      <c r="N166" s="307" t="n"/>
      <c r="O166" s="306" t="n"/>
      <c r="P166" s="306" t="n"/>
      <c r="Q166" s="306" t="n"/>
      <c r="R166" s="306" t="n"/>
      <c r="S166" s="306" t="n"/>
      <c r="U166" s="308" t="n"/>
    </row>
    <row r="167" hidden="1">
      <c r="A167" s="244">
        <f>IF(J167="","",_xlfn.CONCAT("Kous "&amp;I167&amp;" DN"&amp;P167&amp;" - "&amp;O167&amp;"mm - "&amp;N167&amp;"m - ("&amp;J167&amp;")"))</f>
        <v/>
      </c>
      <c r="B167" s="305">
        <f>IFERROR(IF($K167="UV",IF($S167="S+ liner",($N167*(INDEX(Prijzen!$C$15:$P$70,MATCH($P167,Prijzen!$B$15:$B$70,0),MATCH($O167,Prijzen!$C$14:$O$14,0)))*0.58),IF($S167="M liner",($N167*(INDEX(Prijzen!$C$2:$P$11,MATCH($P167,Prijzen!$B$2:$B$11,0),MATCH($O167,Prijzen!$C$1:$P$1,0))))*0.58,0)),$N167*INDEX(Prijzen!$C$73:$P$94,MATCH($P167,Prijzen!$B$73:$B$94,0),MATCH($O167,Prijzen!$C$72:$P$72,0))),"")</f>
        <v/>
      </c>
      <c r="C167" s="260" t="inlineStr">
        <is>
          <t>EUR</t>
        </is>
      </c>
      <c r="D167" s="270" t="n">
        <v>1</v>
      </c>
      <c r="E167" s="305" t="n">
        <v>1</v>
      </c>
      <c r="F167" s="302">
        <f>IFERROR(B167*D167*E167,"")</f>
        <v/>
      </c>
      <c r="G167" s="244" t="n"/>
      <c r="I167" s="306" t="n"/>
      <c r="J167" s="306" t="n"/>
      <c r="K167" s="306" t="n"/>
      <c r="L167" s="306" t="n"/>
      <c r="M167" s="306" t="n"/>
      <c r="N167" s="307" t="n"/>
      <c r="O167" s="306" t="n"/>
      <c r="P167" s="306" t="n"/>
      <c r="Q167" s="306" t="n"/>
      <c r="R167" s="306" t="n"/>
      <c r="S167" s="306" t="n"/>
      <c r="U167" s="308" t="n"/>
    </row>
    <row r="168" hidden="1">
      <c r="A168" s="244">
        <f>IF(J168="","",_xlfn.CONCAT("Kous "&amp;I168&amp;" DN"&amp;P168&amp;" - "&amp;O168&amp;"mm - "&amp;N168&amp;"m - ("&amp;J168&amp;")"))</f>
        <v/>
      </c>
      <c r="B168" s="305">
        <f>IFERROR(IF($K168="UV",IF($S168="S+ liner",($N168*(INDEX(Prijzen!$C$15:$P$70,MATCH($P168,Prijzen!$B$15:$B$70,0),MATCH($O168,Prijzen!$C$14:$O$14,0)))*0.58),IF($S168="M liner",($N168*(INDEX(Prijzen!$C$2:$P$11,MATCH($P168,Prijzen!$B$2:$B$11,0),MATCH($O168,Prijzen!$C$1:$P$1,0))))*0.58,0)),$N168*INDEX(Prijzen!$C$73:$P$94,MATCH($P168,Prijzen!$B$73:$B$94,0),MATCH($O168,Prijzen!$C$72:$P$72,0))),"")</f>
        <v/>
      </c>
      <c r="C168" s="260" t="inlineStr">
        <is>
          <t>EUR</t>
        </is>
      </c>
      <c r="D168" s="270" t="n">
        <v>1</v>
      </c>
      <c r="E168" s="305" t="n">
        <v>1</v>
      </c>
      <c r="F168" s="302">
        <f>IFERROR(B168*D168*E168,"")</f>
        <v/>
      </c>
      <c r="G168" s="244" t="n"/>
      <c r="I168" s="306" t="n"/>
      <c r="J168" s="306" t="n"/>
      <c r="K168" s="306" t="n"/>
      <c r="L168" s="306" t="n"/>
      <c r="M168" s="306" t="n"/>
      <c r="N168" s="307" t="n"/>
      <c r="O168" s="306" t="n"/>
      <c r="P168" s="306" t="n"/>
      <c r="Q168" s="306" t="n"/>
      <c r="R168" s="306" t="n"/>
      <c r="S168" s="306" t="n"/>
      <c r="U168" s="308" t="n"/>
    </row>
    <row r="169" hidden="1" ht="14.25" customHeight="1">
      <c r="A169" s="244">
        <f>IF(J169="","",_xlfn.CONCAT("Kous "&amp;I169&amp;" DN"&amp;P169&amp;" - "&amp;O169&amp;"mm - "&amp;N169&amp;"m - ("&amp;J169&amp;")"))</f>
        <v/>
      </c>
      <c r="B169" s="305">
        <f>IFERROR(IF($K169="UV",IF($S169="S+ liner",($N169*(INDEX(Prijzen!$C$15:$P$70,MATCH($P169,Prijzen!$B$15:$B$70,0),MATCH($O169,Prijzen!$C$14:$O$14,0)))*0.58),IF($S169="M liner",($N169*(INDEX(Prijzen!$C$2:$P$11,MATCH($P169,Prijzen!$B$2:$B$11,0),MATCH($O169,Prijzen!$C$1:$P$1,0))))*0.58,0)),$N169*INDEX(Prijzen!$C$73:$P$94,MATCH($P169,Prijzen!$B$73:$B$94,0),MATCH($O169,Prijzen!$C$72:$P$72,0))),"")</f>
        <v/>
      </c>
      <c r="C169" s="260" t="inlineStr">
        <is>
          <t>EUR</t>
        </is>
      </c>
      <c r="D169" s="270" t="n">
        <v>1</v>
      </c>
      <c r="E169" s="305" t="n">
        <v>1</v>
      </c>
      <c r="F169" s="302">
        <f>IFERROR(B169*D169*E169,"")</f>
        <v/>
      </c>
      <c r="G169" s="244" t="n"/>
      <c r="I169" s="306" t="n"/>
      <c r="J169" s="306" t="n"/>
      <c r="K169" s="306" t="n"/>
      <c r="L169" s="306" t="n"/>
      <c r="M169" s="306" t="n"/>
      <c r="N169" s="307" t="n"/>
      <c r="O169" s="306" t="n"/>
      <c r="P169" s="306" t="n"/>
      <c r="Q169" s="306" t="n"/>
      <c r="R169" s="306" t="n"/>
      <c r="S169" s="306" t="n"/>
      <c r="U169" s="308" t="n"/>
    </row>
    <row r="170" hidden="1">
      <c r="A170" s="244">
        <f>IF(J170="","",_xlfn.CONCAT("Kous "&amp;I170&amp;" DN"&amp;P170&amp;" - "&amp;O170&amp;"mm - "&amp;N170&amp;"m - ("&amp;J170&amp;")"))</f>
        <v/>
      </c>
      <c r="B170" s="305">
        <f>IFERROR(IF($K170="UV",IF($S170="S+ liner",($N170*(INDEX(Prijzen!$C$15:$P$70,MATCH($P170,Prijzen!$B$15:$B$70,0),MATCH($O170,Prijzen!$C$14:$O$14,0)))*0.58),IF($S170="M liner",($N170*(INDEX(Prijzen!$C$2:$P$11,MATCH($P170,Prijzen!$B$2:$B$11,0),MATCH($O170,Prijzen!$C$1:$P$1,0))))*0.58,0)),$N170*INDEX(Prijzen!$C$73:$P$94,MATCH($P170,Prijzen!$B$73:$B$94,0),MATCH($O170,Prijzen!$C$72:$P$72,0))),"")</f>
        <v/>
      </c>
      <c r="C170" s="260" t="inlineStr">
        <is>
          <t>EUR</t>
        </is>
      </c>
      <c r="D170" s="270" t="n">
        <v>1</v>
      </c>
      <c r="E170" s="305" t="n">
        <v>1</v>
      </c>
      <c r="F170" s="302">
        <f>IFERROR(B170*D170*E170,"")</f>
        <v/>
      </c>
      <c r="G170" s="244" t="n"/>
      <c r="I170" s="306" t="n"/>
      <c r="J170" s="306" t="n"/>
      <c r="K170" s="306" t="n"/>
      <c r="L170" s="306" t="n"/>
      <c r="M170" s="306" t="n"/>
      <c r="N170" s="307" t="n"/>
      <c r="O170" s="306" t="n"/>
      <c r="P170" s="306" t="n"/>
      <c r="Q170" s="306" t="n"/>
      <c r="R170" s="306" t="n"/>
      <c r="S170" s="306" t="n"/>
      <c r="U170" s="308" t="n"/>
    </row>
    <row r="171" hidden="1">
      <c r="A171" s="244">
        <f>IF(J171="","",_xlfn.CONCAT("Kous "&amp;I171&amp;" DN"&amp;P171&amp;" - "&amp;O171&amp;"mm - "&amp;N171&amp;"m - ("&amp;J171&amp;")"))</f>
        <v/>
      </c>
      <c r="B171" s="305">
        <f>IFERROR(IF($K171="UV",IF($S171="S+ liner",($N171*(INDEX(Prijzen!$C$15:$P$70,MATCH($P171,Prijzen!$B$15:$B$70,0),MATCH($O171,Prijzen!$C$14:$O$14,0)))*0.58),IF($S171="M liner",($N171*(INDEX(Prijzen!$C$2:$P$11,MATCH($P171,Prijzen!$B$2:$B$11,0),MATCH($O171,Prijzen!$C$1:$P$1,0))))*0.58,0)),$N171*INDEX(Prijzen!$C$73:$P$94,MATCH($P171,Prijzen!$B$73:$B$94,0),MATCH($O171,Prijzen!$C$72:$P$72,0))),"")</f>
        <v/>
      </c>
      <c r="C171" s="260" t="inlineStr">
        <is>
          <t>EUR</t>
        </is>
      </c>
      <c r="D171" s="270" t="n">
        <v>1</v>
      </c>
      <c r="E171" s="305" t="n">
        <v>1</v>
      </c>
      <c r="F171" s="302">
        <f>IFERROR(B171*D171*E171,"")</f>
        <v/>
      </c>
      <c r="G171" s="244" t="n"/>
      <c r="I171" s="306" t="n"/>
      <c r="J171" s="306" t="n"/>
      <c r="K171" s="306" t="n"/>
      <c r="L171" s="306" t="n"/>
      <c r="M171" s="306" t="n"/>
      <c r="N171" s="307" t="n"/>
      <c r="O171" s="306" t="n"/>
      <c r="P171" s="306" t="n"/>
      <c r="Q171" s="306" t="n"/>
      <c r="R171" s="306" t="n"/>
      <c r="S171" s="306" t="n"/>
      <c r="U171" s="308" t="n"/>
    </row>
    <row r="172" hidden="1">
      <c r="A172" s="244">
        <f>IF(J172="","",_xlfn.CONCAT("Kous "&amp;I172&amp;" DN"&amp;P172&amp;" - "&amp;O172&amp;"mm - "&amp;N172&amp;"m - ("&amp;J172&amp;")"))</f>
        <v/>
      </c>
      <c r="B172" s="305">
        <f>IFERROR(IF($K172="UV",IF($S172="S+ liner",($N172*(INDEX(Prijzen!$C$15:$P$70,MATCH($P172,Prijzen!$B$15:$B$70,0),MATCH($O172,Prijzen!$C$14:$O$14,0)))*0.58),IF($S172="M liner",($N172*(INDEX(Prijzen!$C$2:$P$11,MATCH($P172,Prijzen!$B$2:$B$11,0),MATCH($O172,Prijzen!$C$1:$P$1,0))))*0.58,0)),$N172*INDEX(Prijzen!$C$73:$P$94,MATCH($P172,Prijzen!$B$73:$B$94,0),MATCH($O172,Prijzen!$C$72:$P$72,0))),"")</f>
        <v/>
      </c>
      <c r="C172" s="260" t="inlineStr">
        <is>
          <t>EUR</t>
        </is>
      </c>
      <c r="D172" s="270" t="n">
        <v>1</v>
      </c>
      <c r="E172" s="305" t="n">
        <v>1</v>
      </c>
      <c r="F172" s="302">
        <f>IFERROR(B172*D172*E172,"")</f>
        <v/>
      </c>
      <c r="G172" s="244" t="n"/>
      <c r="I172" s="306" t="n"/>
      <c r="J172" s="306" t="n"/>
      <c r="K172" s="306" t="n"/>
      <c r="L172" s="306" t="n"/>
      <c r="M172" s="306" t="n"/>
      <c r="N172" s="307" t="n"/>
      <c r="O172" s="306" t="n"/>
      <c r="P172" s="306" t="n"/>
      <c r="Q172" s="306" t="n"/>
      <c r="R172" s="306" t="n"/>
      <c r="S172" s="306" t="n"/>
      <c r="U172" s="308" t="n"/>
    </row>
    <row r="173" hidden="1">
      <c r="A173" s="244">
        <f>IF(J173="","",_xlfn.CONCAT("Kous "&amp;I173&amp;" DN"&amp;P173&amp;" - "&amp;O173&amp;"mm - "&amp;N173&amp;"m - ("&amp;J173&amp;")"))</f>
        <v/>
      </c>
      <c r="B173" s="305">
        <f>IFERROR(IF($K173="UV",IF($S173="S+ liner",($N173*(INDEX(Prijzen!$C$15:$P$70,MATCH($P173,Prijzen!$B$15:$B$70,0),MATCH($O173,Prijzen!$C$14:$O$14,0)))*0.58),IF($S173="M liner",($N173*(INDEX(Prijzen!$C$2:$P$11,MATCH($P173,Prijzen!$B$2:$B$11,0),MATCH($O173,Prijzen!$C$1:$P$1,0))))*0.58,0)),$N173*INDEX(Prijzen!$C$73:$P$94,MATCH($P173,Prijzen!$B$73:$B$94,0),MATCH($O173,Prijzen!$C$72:$P$72,0))),"")</f>
        <v/>
      </c>
      <c r="C173" s="260" t="inlineStr">
        <is>
          <t>EUR</t>
        </is>
      </c>
      <c r="D173" s="270" t="n">
        <v>1</v>
      </c>
      <c r="E173" s="305" t="n">
        <v>1</v>
      </c>
      <c r="F173" s="302">
        <f>IFERROR(B173*D173*E173,"")</f>
        <v/>
      </c>
      <c r="G173" s="244" t="n"/>
      <c r="I173" s="306" t="n"/>
      <c r="J173" s="306" t="n"/>
      <c r="K173" s="306" t="n"/>
      <c r="L173" s="306" t="n"/>
      <c r="M173" s="306" t="n"/>
      <c r="N173" s="307" t="n"/>
      <c r="O173" s="306" t="n"/>
      <c r="P173" s="306" t="n"/>
      <c r="Q173" s="306" t="n"/>
      <c r="R173" s="306" t="n"/>
      <c r="S173" s="306" t="n"/>
      <c r="U173" s="308" t="n"/>
    </row>
    <row r="174" hidden="1">
      <c r="A174" s="244">
        <f>IF(J174="","",_xlfn.CONCAT("Kous "&amp;I174&amp;" DN"&amp;P174&amp;" - "&amp;O174&amp;"mm - "&amp;N174&amp;"m - ("&amp;J174&amp;")"))</f>
        <v/>
      </c>
      <c r="B174" s="305">
        <f>IFERROR(IF($K174="UV",IF($S174="S+ liner",($N174*(INDEX(Prijzen!$C$15:$P$70,MATCH($P174,Prijzen!$B$15:$B$70,0),MATCH($O174,Prijzen!$C$14:$O$14,0)))*0.58),IF($S174="M liner",($N174*(INDEX(Prijzen!$C$2:$P$11,MATCH($P174,Prijzen!$B$2:$B$11,0),MATCH($O174,Prijzen!$C$1:$P$1,0))))*0.58,0)),$N174*INDEX(Prijzen!$C$73:$P$94,MATCH($P174,Prijzen!$B$73:$B$94,0),MATCH($O174,Prijzen!$C$72:$P$72,0))),"")</f>
        <v/>
      </c>
      <c r="C174" s="260" t="inlineStr">
        <is>
          <t>EUR</t>
        </is>
      </c>
      <c r="D174" s="270" t="n">
        <v>1</v>
      </c>
      <c r="E174" s="305" t="n">
        <v>1</v>
      </c>
      <c r="F174" s="302">
        <f>IFERROR(B174*D174*E174,"")</f>
        <v/>
      </c>
      <c r="G174" s="244" t="n"/>
      <c r="I174" s="306" t="n"/>
      <c r="J174" s="306" t="n"/>
      <c r="K174" s="306" t="n"/>
      <c r="L174" s="306" t="n"/>
      <c r="M174" s="306" t="n"/>
      <c r="N174" s="307" t="n"/>
      <c r="O174" s="306" t="n"/>
      <c r="P174" s="306" t="n"/>
      <c r="Q174" s="306" t="n"/>
      <c r="R174" s="306" t="n"/>
      <c r="S174" s="306" t="n"/>
      <c r="U174" s="308" t="n"/>
    </row>
    <row r="175" hidden="1">
      <c r="A175" s="244">
        <f>IF(J175="","",_xlfn.CONCAT("Kous "&amp;I175&amp;" DN"&amp;P175&amp;" - "&amp;O175&amp;"mm - "&amp;N175&amp;"m - ("&amp;J175&amp;")"))</f>
        <v/>
      </c>
      <c r="B175" s="305">
        <f>IFERROR(IF($K175="UV",IF($S175="S+ liner",($N175*(INDEX(Prijzen!$C$15:$P$70,MATCH($P175,Prijzen!$B$15:$B$70,0),MATCH($O175,Prijzen!$C$14:$O$14,0)))*0.58),IF($S175="M liner",($N175*(INDEX(Prijzen!$C$2:$P$11,MATCH($P175,Prijzen!$B$2:$B$11,0),MATCH($O175,Prijzen!$C$1:$P$1,0))))*0.58,0)),$N175*INDEX(Prijzen!$C$73:$P$94,MATCH($P175,Prijzen!$B$73:$B$94,0),MATCH($O175,Prijzen!$C$72:$P$72,0))),"")</f>
        <v/>
      </c>
      <c r="C175" s="260" t="inlineStr">
        <is>
          <t>EUR</t>
        </is>
      </c>
      <c r="D175" s="270" t="n">
        <v>1</v>
      </c>
      <c r="E175" s="305" t="n">
        <v>1</v>
      </c>
      <c r="F175" s="302">
        <f>IFERROR(B175*D175*E175,"")</f>
        <v/>
      </c>
      <c r="G175" s="244" t="n"/>
      <c r="I175" s="306" t="n"/>
      <c r="J175" s="306" t="n"/>
      <c r="K175" s="306" t="n"/>
      <c r="L175" s="306" t="n"/>
      <c r="M175" s="306" t="n"/>
      <c r="N175" s="307" t="n"/>
      <c r="O175" s="306" t="n"/>
      <c r="P175" s="306" t="n"/>
      <c r="Q175" s="306" t="n"/>
      <c r="R175" s="306" t="n"/>
      <c r="S175" s="306" t="n"/>
      <c r="U175" s="308" t="n"/>
    </row>
    <row r="176" hidden="1">
      <c r="A176" s="244">
        <f>IF(J176="","",_xlfn.CONCAT("Kous "&amp;I176&amp;" DN"&amp;P176&amp;" - "&amp;O176&amp;"mm - "&amp;N176&amp;"m - ("&amp;J176&amp;")"))</f>
        <v/>
      </c>
      <c r="B176" s="305">
        <f>IFERROR(IF($K176="UV",IF($S176="S+ liner",($N176*(INDEX(Prijzen!$C$15:$P$70,MATCH($P176,Prijzen!$B$15:$B$70,0),MATCH($O176,Prijzen!$C$14:$O$14,0)))*0.58),IF($S176="M liner",($N176*(INDEX(Prijzen!$C$2:$P$11,MATCH($P176,Prijzen!$B$2:$B$11,0),MATCH($O176,Prijzen!$C$1:$P$1,0))))*0.58,0)),$N176*INDEX(Prijzen!$C$73:$P$94,MATCH($P176,Prijzen!$B$73:$B$94,0),MATCH($O176,Prijzen!$C$72:$P$72,0))),"")</f>
        <v/>
      </c>
      <c r="C176" s="260" t="inlineStr">
        <is>
          <t>EUR</t>
        </is>
      </c>
      <c r="D176" s="270" t="n">
        <v>1</v>
      </c>
      <c r="E176" s="305" t="n">
        <v>1</v>
      </c>
      <c r="F176" s="302">
        <f>IFERROR(B176*D176*E176,"")</f>
        <v/>
      </c>
      <c r="G176" s="244" t="n"/>
      <c r="I176" s="306" t="n"/>
      <c r="J176" s="306" t="n"/>
      <c r="K176" s="306" t="n"/>
      <c r="L176" s="306" t="n"/>
      <c r="M176" s="306" t="n"/>
      <c r="N176" s="307" t="n"/>
      <c r="O176" s="306" t="n"/>
      <c r="P176" s="306" t="n"/>
      <c r="Q176" s="306" t="n"/>
      <c r="R176" s="306" t="n"/>
      <c r="S176" s="306" t="n"/>
      <c r="U176" s="308" t="n"/>
    </row>
    <row r="177" hidden="1">
      <c r="A177" s="244">
        <f>IF(J177="","",_xlfn.CONCAT("Kous "&amp;I177&amp;" DN"&amp;P177&amp;" - "&amp;O177&amp;"mm - "&amp;N177&amp;"m - ("&amp;J177&amp;")"))</f>
        <v/>
      </c>
      <c r="B177" s="305">
        <f>IFERROR(IF($K177="UV",IF($S177="S+ liner",($N177*(INDEX(Prijzen!$C$15:$P$70,MATCH($P177,Prijzen!$B$15:$B$70,0),MATCH($O177,Prijzen!$C$14:$O$14,0)))*0.58),IF($S177="M liner",($N177*(INDEX(Prijzen!$C$2:$P$11,MATCH($P177,Prijzen!$B$2:$B$11,0),MATCH($O177,Prijzen!$C$1:$P$1,0))))*0.58,0)),$N177*INDEX(Prijzen!$C$73:$P$94,MATCH($P177,Prijzen!$B$73:$B$94,0),MATCH($O177,Prijzen!$C$72:$P$72,0))),"")</f>
        <v/>
      </c>
      <c r="C177" s="260" t="inlineStr">
        <is>
          <t>EUR</t>
        </is>
      </c>
      <c r="D177" s="270" t="n">
        <v>1</v>
      </c>
      <c r="E177" s="305" t="n">
        <v>1</v>
      </c>
      <c r="F177" s="302">
        <f>IFERROR(B177*D177*E177,"")</f>
        <v/>
      </c>
      <c r="G177" s="244" t="n"/>
      <c r="I177" s="306" t="n"/>
      <c r="J177" s="306" t="n"/>
      <c r="K177" s="306" t="n"/>
      <c r="L177" s="306" t="n"/>
      <c r="M177" s="306" t="n"/>
      <c r="N177" s="307" t="n"/>
      <c r="O177" s="306" t="n"/>
      <c r="P177" s="306" t="n"/>
      <c r="Q177" s="306" t="n"/>
      <c r="R177" s="306" t="n"/>
      <c r="S177" s="306" t="n"/>
      <c r="U177" s="308" t="n"/>
    </row>
    <row r="178" hidden="1">
      <c r="A178" s="244">
        <f>IF(J178="","",_xlfn.CONCAT("Kous "&amp;I178&amp;" DN"&amp;P178&amp;" - "&amp;O178&amp;"mm - "&amp;N178&amp;"m - ("&amp;J178&amp;")"))</f>
        <v/>
      </c>
      <c r="B178" s="305">
        <f>IFERROR(IF($K178="UV",IF($S178="S+ liner",($N178*(INDEX(Prijzen!$C$15:$P$70,MATCH($P178,Prijzen!$B$15:$B$70,0),MATCH($O178,Prijzen!$C$14:$O$14,0)))*0.58),IF($S178="M liner",($N178*(INDEX(Prijzen!$C$2:$P$11,MATCH($P178,Prijzen!$B$2:$B$11,0),MATCH($O178,Prijzen!$C$1:$P$1,0))))*0.58,0)),$N178*INDEX(Prijzen!$C$73:$P$94,MATCH($P178,Prijzen!$B$73:$B$94,0),MATCH($O178,Prijzen!$C$72:$P$72,0))),"")</f>
        <v/>
      </c>
      <c r="C178" s="260" t="inlineStr">
        <is>
          <t>EUR</t>
        </is>
      </c>
      <c r="D178" s="270" t="n">
        <v>1</v>
      </c>
      <c r="E178" s="305" t="n">
        <v>1</v>
      </c>
      <c r="F178" s="302">
        <f>IFERROR(B178*D178*E178,"")</f>
        <v/>
      </c>
      <c r="G178" s="244" t="n"/>
      <c r="I178" s="306" t="n"/>
      <c r="J178" s="306" t="n"/>
      <c r="K178" s="306" t="n"/>
      <c r="L178" s="306" t="n"/>
      <c r="M178" s="306" t="n"/>
      <c r="N178" s="307" t="n"/>
      <c r="O178" s="306" t="n"/>
      <c r="P178" s="306" t="n"/>
      <c r="Q178" s="306" t="n"/>
      <c r="R178" s="306" t="n"/>
      <c r="S178" s="306" t="n"/>
      <c r="U178" s="308" t="n"/>
    </row>
    <row r="179" hidden="1">
      <c r="A179" s="244">
        <f>IF(J179="","",_xlfn.CONCAT("Kous "&amp;I179&amp;" DN"&amp;P179&amp;" - "&amp;O179&amp;"mm - "&amp;N179&amp;"m - ("&amp;J179&amp;")"))</f>
        <v/>
      </c>
      <c r="B179" s="305">
        <f>IFERROR(IF($K179="UV",IF($S179="S+ liner",($N179*(INDEX(Prijzen!$C$15:$P$70,MATCH($P179,Prijzen!$B$15:$B$70,0),MATCH($O179,Prijzen!$C$14:$O$14,0)))*0.58),IF($S179="M liner",($N179*(INDEX(Prijzen!$C$2:$P$11,MATCH($P179,Prijzen!$B$2:$B$11,0),MATCH($O179,Prijzen!$C$1:$P$1,0))))*0.58,0)),$N179*INDEX(Prijzen!$C$73:$P$94,MATCH($P179,Prijzen!$B$73:$B$94,0),MATCH($O179,Prijzen!$C$72:$P$72,0))),"")</f>
        <v/>
      </c>
      <c r="C179" s="260" t="inlineStr">
        <is>
          <t>EUR</t>
        </is>
      </c>
      <c r="D179" s="270" t="n">
        <v>1</v>
      </c>
      <c r="E179" s="305" t="n">
        <v>1</v>
      </c>
      <c r="F179" s="302">
        <f>IFERROR(B179*D179*E179,"")</f>
        <v/>
      </c>
      <c r="G179" s="244" t="n"/>
      <c r="I179" s="306" t="n"/>
      <c r="J179" s="306" t="n"/>
      <c r="K179" s="306" t="n"/>
      <c r="L179" s="306" t="n"/>
      <c r="M179" s="306" t="n"/>
      <c r="N179" s="307" t="n"/>
      <c r="O179" s="306" t="n"/>
      <c r="P179" s="306" t="n"/>
      <c r="Q179" s="306" t="n"/>
      <c r="R179" s="306" t="n"/>
      <c r="S179" s="306" t="n"/>
      <c r="U179" s="308" t="n"/>
    </row>
    <row r="180" hidden="1">
      <c r="A180" s="244">
        <f>IF(J180="","",_xlfn.CONCAT("Kous "&amp;I180&amp;" DN"&amp;P180&amp;" - "&amp;O180&amp;"mm - "&amp;N180&amp;"m - ("&amp;J180&amp;")"))</f>
        <v/>
      </c>
      <c r="B180" s="305">
        <f>IFERROR(IF($K180="UV",IF($S180="S+ liner",($N180*(INDEX(Prijzen!$C$15:$P$70,MATCH($P180,Prijzen!$B$15:$B$70,0),MATCH($O180,Prijzen!$C$14:$O$14,0)))*0.58),IF($S180="M liner",($N180*(INDEX(Prijzen!$C$2:$P$11,MATCH($P180,Prijzen!$B$2:$B$11,0),MATCH($O180,Prijzen!$C$1:$P$1,0))))*0.58,0)),$N180*INDEX(Prijzen!$C$73:$P$94,MATCH($P180,Prijzen!$B$73:$B$94,0),MATCH($O180,Prijzen!$C$72:$P$72,0))),"")</f>
        <v/>
      </c>
      <c r="C180" s="260" t="inlineStr">
        <is>
          <t>EUR</t>
        </is>
      </c>
      <c r="D180" s="270" t="n">
        <v>1</v>
      </c>
      <c r="E180" s="305" t="n">
        <v>1</v>
      </c>
      <c r="F180" s="302">
        <f>IFERROR(B180*D180*E180,"")</f>
        <v/>
      </c>
      <c r="G180" s="244" t="n"/>
      <c r="I180" s="306" t="n"/>
      <c r="J180" s="306" t="n"/>
      <c r="K180" s="306" t="n"/>
      <c r="L180" s="306" t="n"/>
      <c r="M180" s="306" t="n"/>
      <c r="N180" s="307" t="n"/>
      <c r="O180" s="306" t="n"/>
      <c r="P180" s="306" t="n"/>
      <c r="Q180" s="306" t="n"/>
      <c r="R180" s="306" t="n"/>
      <c r="S180" s="306" t="n"/>
      <c r="U180" s="308" t="n"/>
    </row>
    <row r="181" hidden="1">
      <c r="A181" s="244">
        <f>IF(J181="","",_xlfn.CONCAT("Kous "&amp;I181&amp;" DN"&amp;P181&amp;" - "&amp;O181&amp;"mm - "&amp;N181&amp;"m - ("&amp;J181&amp;")"))</f>
        <v/>
      </c>
      <c r="B181" s="305">
        <f>IFERROR(IF($K181="UV",IF($S181="S+ liner",($N181*(INDEX(Prijzen!$C$15:$P$70,MATCH($P181,Prijzen!$B$15:$B$70,0),MATCH($O181,Prijzen!$C$14:$O$14,0)))*0.58),IF($S181="M liner",($N181*(INDEX(Prijzen!$C$2:$P$11,MATCH($P181,Prijzen!$B$2:$B$11,0),MATCH($O181,Prijzen!$C$1:$P$1,0))))*0.58,0)),$N181*INDEX(Prijzen!$C$73:$P$94,MATCH($P181,Prijzen!$B$73:$B$94,0),MATCH($O181,Prijzen!$C$72:$P$72,0))),"")</f>
        <v/>
      </c>
      <c r="C181" s="260" t="inlineStr">
        <is>
          <t>EUR</t>
        </is>
      </c>
      <c r="D181" s="270" t="n">
        <v>1</v>
      </c>
      <c r="E181" s="305" t="n">
        <v>1</v>
      </c>
      <c r="F181" s="302">
        <f>IFERROR(B181*D181*E181,"")</f>
        <v/>
      </c>
      <c r="G181" s="244" t="n"/>
      <c r="I181" s="306" t="n"/>
      <c r="J181" s="306" t="n"/>
      <c r="K181" s="306" t="n"/>
      <c r="L181" s="306" t="n"/>
      <c r="M181" s="306" t="n"/>
      <c r="N181" s="307" t="n"/>
      <c r="O181" s="306" t="n"/>
      <c r="P181" s="306" t="n"/>
      <c r="Q181" s="306" t="n"/>
      <c r="R181" s="306" t="n"/>
      <c r="S181" s="306" t="n"/>
      <c r="U181" s="308" t="n"/>
    </row>
    <row r="182" hidden="1">
      <c r="A182" s="244">
        <f>IF(J182="","",_xlfn.CONCAT("Kous "&amp;I182&amp;" DN"&amp;P182&amp;" - "&amp;O182&amp;"mm - "&amp;N182&amp;"m - ("&amp;J182&amp;")"))</f>
        <v/>
      </c>
      <c r="B182" s="305">
        <f>IFERROR(IF($K182="UV",IF($S182="S+ liner",($N182*(INDEX(Prijzen!$C$15:$P$70,MATCH($P182,Prijzen!$B$15:$B$70,0),MATCH($O182,Prijzen!$C$14:$O$14,0)))*0.58),IF($S182="M liner",($N182*(INDEX(Prijzen!$C$2:$P$11,MATCH($P182,Prijzen!$B$2:$B$11,0),MATCH($O182,Prijzen!$C$1:$P$1,0))))*0.58,0)),$N182*INDEX(Prijzen!$C$73:$P$94,MATCH($P182,Prijzen!$B$73:$B$94,0),MATCH($O182,Prijzen!$C$72:$P$72,0))),"")</f>
        <v/>
      </c>
      <c r="C182" s="260" t="inlineStr">
        <is>
          <t>EUR</t>
        </is>
      </c>
      <c r="D182" s="270" t="n">
        <v>1</v>
      </c>
      <c r="E182" s="305" t="n">
        <v>1</v>
      </c>
      <c r="F182" s="302">
        <f>IFERROR(B182*D182*E182,"")</f>
        <v/>
      </c>
      <c r="G182" s="244" t="n"/>
      <c r="I182" s="306" t="n"/>
      <c r="J182" s="306" t="n"/>
      <c r="K182" s="306" t="n"/>
      <c r="L182" s="306" t="n"/>
      <c r="M182" s="306" t="n"/>
      <c r="N182" s="307" t="n"/>
      <c r="O182" s="306" t="n"/>
      <c r="P182" s="306" t="n"/>
      <c r="Q182" s="306" t="n"/>
      <c r="R182" s="306" t="n"/>
      <c r="S182" s="306" t="n"/>
      <c r="U182" s="308" t="n"/>
    </row>
    <row r="183" hidden="1">
      <c r="A183" s="244">
        <f>IF(J183="","",_xlfn.CONCAT("Kous "&amp;I183&amp;" DN"&amp;P183&amp;" - "&amp;O183&amp;"mm - "&amp;N183&amp;"m - ("&amp;J183&amp;")"))</f>
        <v/>
      </c>
      <c r="B183" s="305">
        <f>IFERROR(IF($K183="UV",IF($S183="S+ liner",($N183*(INDEX(Prijzen!$C$15:$P$70,MATCH($P183,Prijzen!$B$15:$B$70,0),MATCH($O183,Prijzen!$C$14:$O$14,0)))*0.58),IF($S183="M liner",($N183*(INDEX(Prijzen!$C$2:$P$11,MATCH($P183,Prijzen!$B$2:$B$11,0),MATCH($O183,Prijzen!$C$1:$P$1,0))))*0.58,0)),$N183*INDEX(Prijzen!$C$73:$P$94,MATCH($P183,Prijzen!$B$73:$B$94,0),MATCH($O183,Prijzen!$C$72:$P$72,0))),"")</f>
        <v/>
      </c>
      <c r="C183" s="260" t="inlineStr">
        <is>
          <t>EUR</t>
        </is>
      </c>
      <c r="D183" s="270" t="n">
        <v>1</v>
      </c>
      <c r="E183" s="305" t="n">
        <v>1</v>
      </c>
      <c r="F183" s="302">
        <f>IFERROR(B183*D183*E183,"")</f>
        <v/>
      </c>
      <c r="G183" s="244" t="n"/>
      <c r="I183" s="306" t="n"/>
      <c r="J183" s="306" t="n"/>
      <c r="K183" s="306" t="n"/>
      <c r="L183" s="306" t="n"/>
      <c r="M183" s="306" t="n"/>
      <c r="N183" s="307" t="n"/>
      <c r="O183" s="306" t="n"/>
      <c r="P183" s="306" t="n"/>
      <c r="Q183" s="306" t="n"/>
      <c r="R183" s="306" t="n"/>
      <c r="S183" s="306" t="n"/>
      <c r="U183" s="308" t="n"/>
    </row>
    <row r="184" hidden="1">
      <c r="A184" s="244">
        <f>IF(J184="","",_xlfn.CONCAT("Kous "&amp;I184&amp;" DN"&amp;P184&amp;" - "&amp;O184&amp;"mm - "&amp;N184&amp;"m - ("&amp;J184&amp;")"))</f>
        <v/>
      </c>
      <c r="B184" s="305">
        <f>IFERROR(IF($K184="UV",IF($S184="S+ liner",($N184*(INDEX(Prijzen!$C$15:$P$70,MATCH($P184,Prijzen!$B$15:$B$70,0),MATCH($O184,Prijzen!$C$14:$O$14,0)))*0.58),IF($S184="M liner",($N184*(INDEX(Prijzen!$C$2:$P$11,MATCH($P184,Prijzen!$B$2:$B$11,0),MATCH($O184,Prijzen!$C$1:$P$1,0))))*0.58,0)),$N184*INDEX(Prijzen!$C$73:$P$94,MATCH($P184,Prijzen!$B$73:$B$94,0),MATCH($O184,Prijzen!$C$72:$P$72,0))),"")</f>
        <v/>
      </c>
      <c r="C184" s="260" t="inlineStr">
        <is>
          <t>EUR</t>
        </is>
      </c>
      <c r="D184" s="270" t="n">
        <v>1</v>
      </c>
      <c r="E184" s="305" t="n">
        <v>1</v>
      </c>
      <c r="F184" s="302">
        <f>IFERROR(B184*D184*E184,"")</f>
        <v/>
      </c>
      <c r="G184" s="244" t="n"/>
      <c r="I184" s="306" t="n"/>
      <c r="J184" s="306" t="n"/>
      <c r="K184" s="306" t="n"/>
      <c r="L184" s="306" t="n"/>
      <c r="M184" s="306" t="n"/>
      <c r="N184" s="307" t="n"/>
      <c r="O184" s="306" t="n"/>
      <c r="P184" s="306" t="n"/>
      <c r="Q184" s="306" t="n"/>
      <c r="R184" s="306" t="n"/>
      <c r="S184" s="306" t="n"/>
      <c r="U184" s="308" t="n"/>
    </row>
    <row r="185" hidden="1">
      <c r="A185" s="244">
        <f>IF(J185="","",_xlfn.CONCAT("Kous "&amp;I185&amp;" DN"&amp;P185&amp;" - "&amp;O185&amp;"mm - "&amp;N185&amp;"m - ("&amp;J185&amp;")"))</f>
        <v/>
      </c>
      <c r="B185" s="305">
        <f>IFERROR(IF($K185="UV",IF($S185="S+ liner",($N185*(INDEX(Prijzen!$C$15:$P$70,MATCH($P185,Prijzen!$B$15:$B$70,0),MATCH($O185,Prijzen!$C$14:$O$14,0)))*0.58),IF($S185="M liner",($N185*(INDEX(Prijzen!$C$2:$P$11,MATCH($P185,Prijzen!$B$2:$B$11,0),MATCH($O185,Prijzen!$C$1:$P$1,0))))*0.58,0)),$N185*INDEX(Prijzen!$C$73:$P$94,MATCH($P185,Prijzen!$B$73:$B$94,0),MATCH($O185,Prijzen!$C$72:$P$72,0))),"")</f>
        <v/>
      </c>
      <c r="C185" s="260" t="inlineStr">
        <is>
          <t>EUR</t>
        </is>
      </c>
      <c r="D185" s="270" t="n">
        <v>1</v>
      </c>
      <c r="E185" s="305" t="n">
        <v>1</v>
      </c>
      <c r="F185" s="302">
        <f>IFERROR(B185*D185*E185,"")</f>
        <v/>
      </c>
      <c r="G185" s="244" t="n"/>
      <c r="I185" s="306" t="n"/>
      <c r="J185" s="306" t="n"/>
      <c r="K185" s="306" t="n"/>
      <c r="L185" s="306" t="n"/>
      <c r="M185" s="306" t="n"/>
      <c r="N185" s="307" t="n"/>
      <c r="O185" s="306" t="n"/>
      <c r="P185" s="306" t="n"/>
      <c r="Q185" s="306" t="n"/>
      <c r="R185" s="306" t="n"/>
      <c r="S185" s="306" t="n"/>
      <c r="U185" s="308" t="n"/>
    </row>
    <row r="186" hidden="1">
      <c r="A186" s="244">
        <f>IF(J186="","",_xlfn.CONCAT("Kous "&amp;I186&amp;" DN"&amp;P186&amp;" - "&amp;O186&amp;"mm - "&amp;N186&amp;"m - ("&amp;J186&amp;")"))</f>
        <v/>
      </c>
      <c r="B186" s="305">
        <f>IFERROR(IF($K186="UV",IF($S186="S+ liner",($N186*(INDEX(Prijzen!$C$15:$P$70,MATCH($P186,Prijzen!$B$15:$B$70,0),MATCH($O186,Prijzen!$C$14:$O$14,0)))*0.58),IF($S186="M liner",($N186*(INDEX(Prijzen!$C$2:$P$11,MATCH($P186,Prijzen!$B$2:$B$11,0),MATCH($O186,Prijzen!$C$1:$P$1,0))))*0.58,0)),$N186*INDEX(Prijzen!$C$73:$P$94,MATCH($P186,Prijzen!$B$73:$B$94,0),MATCH($O186,Prijzen!$C$72:$P$72,0))),"")</f>
        <v/>
      </c>
      <c r="C186" s="260" t="inlineStr">
        <is>
          <t>EUR</t>
        </is>
      </c>
      <c r="D186" s="270" t="n">
        <v>1</v>
      </c>
      <c r="E186" s="305" t="n">
        <v>1</v>
      </c>
      <c r="F186" s="302">
        <f>IFERROR(B186*D186*E186,"")</f>
        <v/>
      </c>
      <c r="G186" s="244" t="n"/>
      <c r="I186" s="306" t="n"/>
      <c r="J186" s="306" t="n"/>
      <c r="K186" s="306" t="n"/>
      <c r="L186" s="306" t="n"/>
      <c r="M186" s="306" t="n"/>
      <c r="N186" s="307" t="n"/>
      <c r="O186" s="306" t="n"/>
      <c r="P186" s="306" t="n"/>
      <c r="Q186" s="306" t="n"/>
      <c r="R186" s="306" t="n"/>
      <c r="S186" s="306" t="n"/>
      <c r="U186" s="308" t="n"/>
    </row>
    <row r="187" hidden="1">
      <c r="A187" s="244">
        <f>IF(J187="","",_xlfn.CONCAT("Kous "&amp;I187&amp;" DN"&amp;P187&amp;" - "&amp;O187&amp;"mm - "&amp;N187&amp;"m - ("&amp;J187&amp;")"))</f>
        <v/>
      </c>
      <c r="B187" s="305">
        <f>IFERROR(IF($K187="UV",IF($S187="S+ liner",($N187*(INDEX(Prijzen!$C$15:$P$70,MATCH($P187,Prijzen!$B$15:$B$70,0),MATCH($O187,Prijzen!$C$14:$O$14,0)))*0.58),IF($S187="M liner",($N187*(INDEX(Prijzen!$C$2:$P$11,MATCH($P187,Prijzen!$B$2:$B$11,0),MATCH($O187,Prijzen!$C$1:$P$1,0))))*0.58,0)),$N187*INDEX(Prijzen!$C$73:$P$94,MATCH($P187,Prijzen!$B$73:$B$94,0),MATCH($O187,Prijzen!$C$72:$P$72,0))),"")</f>
        <v/>
      </c>
      <c r="C187" s="260" t="inlineStr">
        <is>
          <t>EUR</t>
        </is>
      </c>
      <c r="D187" s="270" t="n">
        <v>1</v>
      </c>
      <c r="E187" s="305" t="n">
        <v>1</v>
      </c>
      <c r="F187" s="302">
        <f>IFERROR(B187*D187*E187,"")</f>
        <v/>
      </c>
      <c r="G187" s="244" t="n"/>
      <c r="I187" s="306" t="n"/>
      <c r="J187" s="306" t="n"/>
      <c r="K187" s="306" t="n"/>
      <c r="L187" s="306" t="n"/>
      <c r="M187" s="306" t="n"/>
      <c r="N187" s="307" t="n"/>
      <c r="O187" s="306" t="n"/>
      <c r="P187" s="306" t="n"/>
      <c r="Q187" s="306" t="n"/>
      <c r="R187" s="306" t="n"/>
      <c r="S187" s="306" t="n"/>
      <c r="U187" s="308" t="n"/>
    </row>
    <row r="188" hidden="1">
      <c r="A188" s="244">
        <f>IF(J188="","",_xlfn.CONCAT("Kous "&amp;I188&amp;" DN"&amp;P188&amp;" - "&amp;O188&amp;"mm - "&amp;N188&amp;"m - ("&amp;J188&amp;")"))</f>
        <v/>
      </c>
      <c r="B188" s="305">
        <f>IFERROR(IF($K188="UV",IF($S188="S+ liner",($N188*(INDEX(Prijzen!$C$15:$P$70,MATCH($P188,Prijzen!$B$15:$B$70,0),MATCH($O188,Prijzen!$C$14:$O$14,0)))*0.58),IF($S188="M liner",($N188*(INDEX(Prijzen!$C$2:$P$11,MATCH($P188,Prijzen!$B$2:$B$11,0),MATCH($O188,Prijzen!$C$1:$P$1,0))))*0.58,0)),$N188*INDEX(Prijzen!$C$73:$P$94,MATCH($P188,Prijzen!$B$73:$B$94,0),MATCH($O188,Prijzen!$C$72:$P$72,0))),"")</f>
        <v/>
      </c>
      <c r="C188" s="260" t="inlineStr">
        <is>
          <t>EUR</t>
        </is>
      </c>
      <c r="D188" s="270" t="n">
        <v>1</v>
      </c>
      <c r="E188" s="305" t="n">
        <v>1</v>
      </c>
      <c r="F188" s="302">
        <f>IFERROR(B188*D188*E188,"")</f>
        <v/>
      </c>
      <c r="G188" s="244" t="n"/>
      <c r="I188" s="306" t="n"/>
      <c r="J188" s="306" t="n"/>
      <c r="K188" s="306" t="n"/>
      <c r="L188" s="306" t="n"/>
      <c r="M188" s="306" t="n"/>
      <c r="N188" s="307" t="n"/>
      <c r="O188" s="306" t="n"/>
      <c r="P188" s="306" t="n"/>
      <c r="Q188" s="306" t="n"/>
      <c r="R188" s="306" t="n"/>
      <c r="S188" s="306" t="n"/>
      <c r="U188" s="308" t="n"/>
    </row>
    <row r="189" hidden="1">
      <c r="A189" s="244">
        <f>IF(J189="","",_xlfn.CONCAT("Kous "&amp;I189&amp;" DN"&amp;P189&amp;" - "&amp;O189&amp;"mm - "&amp;N189&amp;"m - ("&amp;J189&amp;")"))</f>
        <v/>
      </c>
      <c r="B189" s="305">
        <f>IFERROR(IF($K189="UV",IF($S189="S+ liner",($N189*(INDEX(Prijzen!$C$15:$P$70,MATCH($P189,Prijzen!$B$15:$B$70,0),MATCH($O189,Prijzen!$C$14:$O$14,0)))*0.58),IF($S189="M liner",($N189*(INDEX(Prijzen!$C$2:$P$11,MATCH($P189,Prijzen!$B$2:$B$11,0),MATCH($O189,Prijzen!$C$1:$P$1,0))))*0.58,0)),$N189*INDEX(Prijzen!$C$73:$P$94,MATCH($P189,Prijzen!$B$73:$B$94,0),MATCH($O189,Prijzen!$C$72:$P$72,0))),"")</f>
        <v/>
      </c>
      <c r="C189" s="260" t="inlineStr">
        <is>
          <t>EUR</t>
        </is>
      </c>
      <c r="D189" s="270" t="n">
        <v>1</v>
      </c>
      <c r="E189" s="305" t="n">
        <v>1</v>
      </c>
      <c r="F189" s="302">
        <f>IFERROR(B189*D189*E189,"")</f>
        <v/>
      </c>
      <c r="G189" s="244" t="n"/>
      <c r="I189" s="306" t="n"/>
      <c r="J189" s="306" t="n"/>
      <c r="K189" s="306" t="n"/>
      <c r="L189" s="306" t="n"/>
      <c r="M189" s="306" t="n"/>
      <c r="N189" s="307" t="n"/>
      <c r="O189" s="306" t="n"/>
      <c r="P189" s="306" t="n"/>
      <c r="Q189" s="306" t="n"/>
      <c r="R189" s="306" t="n"/>
      <c r="S189" s="306" t="n"/>
      <c r="U189" s="308" t="n"/>
    </row>
    <row r="190" hidden="1">
      <c r="A190" s="244">
        <f>IF(J190="","",_xlfn.CONCAT("Kous "&amp;I190&amp;" DN"&amp;P190&amp;" - "&amp;O190&amp;"mm - "&amp;N190&amp;"m - ("&amp;J190&amp;")"))</f>
        <v/>
      </c>
      <c r="B190" s="305">
        <f>IFERROR(IF($K190="UV",IF($S190="S+ liner",($N190*(INDEX(Prijzen!$C$15:$P$70,MATCH($P190,Prijzen!$B$15:$B$70,0),MATCH($O190,Prijzen!$C$14:$O$14,0)))*0.58),IF($S190="M liner",($N190*(INDEX(Prijzen!$C$2:$P$11,MATCH($P190,Prijzen!$B$2:$B$11,0),MATCH($O190,Prijzen!$C$1:$P$1,0))))*0.58,0)),$N190*INDEX(Prijzen!$C$73:$P$94,MATCH($P190,Prijzen!$B$73:$B$94,0),MATCH($O190,Prijzen!$C$72:$P$72,0))),"")</f>
        <v/>
      </c>
      <c r="C190" s="260" t="inlineStr">
        <is>
          <t>EUR</t>
        </is>
      </c>
      <c r="D190" s="270" t="n">
        <v>1</v>
      </c>
      <c r="E190" s="305" t="n">
        <v>1</v>
      </c>
      <c r="F190" s="302">
        <f>IFERROR(B190*D190*E190,"")</f>
        <v/>
      </c>
      <c r="G190" s="244" t="n"/>
      <c r="I190" s="306" t="n"/>
      <c r="J190" s="306" t="n"/>
      <c r="K190" s="306" t="n"/>
      <c r="L190" s="306" t="n"/>
      <c r="M190" s="306" t="n"/>
      <c r="N190" s="307" t="n"/>
      <c r="O190" s="306" t="n"/>
      <c r="P190" s="306" t="n"/>
      <c r="Q190" s="306" t="n"/>
      <c r="R190" s="306" t="n"/>
      <c r="S190" s="306" t="n"/>
      <c r="U190" s="308" t="n"/>
    </row>
    <row r="191" hidden="1">
      <c r="A191" s="244">
        <f>IF(J191="","",_xlfn.CONCAT("Kous "&amp;I191&amp;" DN"&amp;P191&amp;" - "&amp;O191&amp;"mm - "&amp;N191&amp;"m - ("&amp;J191&amp;")"))</f>
        <v/>
      </c>
      <c r="B191" s="305">
        <f>IFERROR(IF($K191="UV",IF($S191="S+ liner",($N191*(INDEX(Prijzen!$C$15:$P$70,MATCH($P191,Prijzen!$B$15:$B$70,0),MATCH($O191,Prijzen!$C$14:$O$14,0)))*0.58),IF($S191="M liner",($N191*(INDEX(Prijzen!$C$2:$P$11,MATCH($P191,Prijzen!$B$2:$B$11,0),MATCH($O191,Prijzen!$C$1:$P$1,0))))*0.58,0)),$N191*INDEX(Prijzen!$C$73:$P$94,MATCH($P191,Prijzen!$B$73:$B$94,0),MATCH($O191,Prijzen!$C$72:$P$72,0))),"")</f>
        <v/>
      </c>
      <c r="C191" s="260" t="inlineStr">
        <is>
          <t>EUR</t>
        </is>
      </c>
      <c r="D191" s="270" t="n">
        <v>1</v>
      </c>
      <c r="E191" s="305" t="n">
        <v>1</v>
      </c>
      <c r="F191" s="302">
        <f>IFERROR(B191*D191*E191,"")</f>
        <v/>
      </c>
      <c r="G191" s="244" t="n"/>
      <c r="I191" s="306" t="n"/>
      <c r="J191" s="306" t="n"/>
      <c r="K191" s="306" t="n"/>
      <c r="L191" s="306" t="n"/>
      <c r="M191" s="306" t="n"/>
      <c r="N191" s="307" t="n"/>
      <c r="O191" s="306" t="n"/>
      <c r="P191" s="306" t="n"/>
      <c r="Q191" s="306" t="n"/>
      <c r="R191" s="306" t="n"/>
      <c r="S191" s="306" t="n"/>
      <c r="U191" s="308" t="n"/>
    </row>
    <row r="192" hidden="1">
      <c r="A192" s="244">
        <f>IF(J192="","",_xlfn.CONCAT("Kous "&amp;I192&amp;" DN"&amp;P192&amp;" - "&amp;O192&amp;"mm - "&amp;N192&amp;"m - ("&amp;J192&amp;")"))</f>
        <v/>
      </c>
      <c r="B192" s="305">
        <f>IFERROR(IF($K192="UV",IF($S192="S+ liner",($N192*(INDEX(Prijzen!$C$15:$P$70,MATCH($P192,Prijzen!$B$15:$B$70,0),MATCH($O192,Prijzen!$C$14:$O$14,0)))*0.58),IF($S192="M liner",($N192*(INDEX(Prijzen!$C$2:$P$11,MATCH($P192,Prijzen!$B$2:$B$11,0),MATCH($O192,Prijzen!$C$1:$P$1,0))))*0.58,0)),$N192*INDEX(Prijzen!$C$73:$P$94,MATCH($P192,Prijzen!$B$73:$B$94,0),MATCH($O192,Prijzen!$C$72:$P$72,0))),"")</f>
        <v/>
      </c>
      <c r="C192" s="260" t="inlineStr">
        <is>
          <t>EUR</t>
        </is>
      </c>
      <c r="D192" s="270" t="n">
        <v>1</v>
      </c>
      <c r="E192" s="305" t="n">
        <v>1</v>
      </c>
      <c r="F192" s="302">
        <f>IFERROR(B192*D192*E192,"")</f>
        <v/>
      </c>
      <c r="G192" s="244" t="n"/>
      <c r="I192" s="306" t="n"/>
      <c r="J192" s="306" t="n"/>
      <c r="K192" s="306" t="n"/>
      <c r="L192" s="306" t="n"/>
      <c r="M192" s="306" t="n"/>
      <c r="N192" s="307" t="n"/>
      <c r="O192" s="306" t="n"/>
      <c r="P192" s="306" t="n"/>
      <c r="Q192" s="306" t="n"/>
      <c r="R192" s="306" t="n"/>
      <c r="S192" s="306" t="n"/>
      <c r="U192" s="308" t="n"/>
    </row>
    <row r="193" hidden="1">
      <c r="A193" s="244">
        <f>IF(J193="","",_xlfn.CONCAT("Kous "&amp;I193&amp;" DN"&amp;P193&amp;" - "&amp;O193&amp;"mm - "&amp;N193&amp;"m - ("&amp;J193&amp;")"))</f>
        <v/>
      </c>
      <c r="B193" s="305">
        <f>IFERROR(IF($K193="UV",IF($S193="S+ liner",($N193*(INDEX(Prijzen!$C$15:$P$70,MATCH($P193,Prijzen!$B$15:$B$70,0),MATCH($O193,Prijzen!$C$14:$O$14,0)))*0.58),IF($S193="M liner",($N193*(INDEX(Prijzen!$C$2:$P$11,MATCH($P193,Prijzen!$B$2:$B$11,0),MATCH($O193,Prijzen!$C$1:$P$1,0))))*0.58,0)),$N193*INDEX(Prijzen!$C$73:$P$94,MATCH($P193,Prijzen!$B$73:$B$94,0),MATCH($O193,Prijzen!$C$72:$P$72,0))),"")</f>
        <v/>
      </c>
      <c r="C193" s="260" t="inlineStr">
        <is>
          <t>EUR</t>
        </is>
      </c>
      <c r="D193" s="270" t="n">
        <v>1</v>
      </c>
      <c r="E193" s="305" t="n">
        <v>1</v>
      </c>
      <c r="F193" s="302">
        <f>IFERROR(B193*D193*E193,"")</f>
        <v/>
      </c>
      <c r="G193" s="244" t="n"/>
      <c r="I193" s="306" t="n"/>
      <c r="J193" s="306" t="n"/>
      <c r="K193" s="306" t="n"/>
      <c r="L193" s="306" t="n"/>
      <c r="M193" s="306" t="n"/>
      <c r="N193" s="307" t="n"/>
      <c r="O193" s="306" t="n"/>
      <c r="P193" s="306" t="n"/>
      <c r="Q193" s="306" t="n"/>
      <c r="R193" s="306" t="n"/>
      <c r="S193" s="306" t="n"/>
      <c r="U193" s="308" t="n"/>
    </row>
    <row r="194" hidden="1">
      <c r="A194" s="244">
        <f>IF(J194="","",_xlfn.CONCAT("Kous "&amp;I194&amp;" DN"&amp;P194&amp;" - "&amp;O194&amp;"mm - "&amp;N194&amp;"m - ("&amp;J194&amp;")"))</f>
        <v/>
      </c>
      <c r="B194" s="305">
        <f>IFERROR(IF($K194="UV",IF($S194="S+ liner",($N194*(INDEX(Prijzen!$C$15:$P$70,MATCH($P194,Prijzen!$B$15:$B$70,0),MATCH($O194,Prijzen!$C$14:$O$14,0)))*0.58),IF($S194="M liner",($N194*(INDEX(Prijzen!$C$2:$P$11,MATCH($P194,Prijzen!$B$2:$B$11,0),MATCH($O194,Prijzen!$C$1:$P$1,0))))*0.58,0)),$N194*INDEX(Prijzen!$C$73:$P$94,MATCH($P194,Prijzen!$B$73:$B$94,0),MATCH($O194,Prijzen!$C$72:$P$72,0))),"")</f>
        <v/>
      </c>
      <c r="C194" s="260" t="inlineStr">
        <is>
          <t>EUR</t>
        </is>
      </c>
      <c r="D194" s="270" t="n">
        <v>1</v>
      </c>
      <c r="E194" s="305" t="n">
        <v>1</v>
      </c>
      <c r="F194" s="302">
        <f>IFERROR(B194*D194*E194,"")</f>
        <v/>
      </c>
      <c r="G194" s="244" t="n"/>
      <c r="I194" s="306" t="n"/>
      <c r="J194" s="306" t="n"/>
      <c r="K194" s="306" t="n"/>
      <c r="L194" s="306" t="n"/>
      <c r="M194" s="306" t="n"/>
      <c r="N194" s="307" t="n"/>
      <c r="O194" s="306" t="n"/>
      <c r="P194" s="306" t="n"/>
      <c r="Q194" s="306" t="n"/>
      <c r="R194" s="306" t="n"/>
      <c r="S194" s="306" t="n"/>
      <c r="U194" s="308" t="n"/>
    </row>
    <row r="195" hidden="1">
      <c r="A195" s="244">
        <f>IF(J195="","",_xlfn.CONCAT("Kous "&amp;I195&amp;" DN"&amp;P195&amp;" - "&amp;O195&amp;"mm - "&amp;N195&amp;"m - ("&amp;J195&amp;")"))</f>
        <v/>
      </c>
      <c r="B195" s="305">
        <f>IFERROR(IF($K195="UV",IF($S195="S+ liner",($N195*(INDEX(Prijzen!$C$15:$P$70,MATCH($P195,Prijzen!$B$15:$B$70,0),MATCH($O195,Prijzen!$C$14:$O$14,0)))*0.58),IF($S195="M liner",($N195*(INDEX(Prijzen!$C$2:$P$11,MATCH($P195,Prijzen!$B$2:$B$11,0),MATCH($O195,Prijzen!$C$1:$P$1,0))))*0.58,0)),$N195*INDEX(Prijzen!$C$73:$P$94,MATCH($P195,Prijzen!$B$73:$B$94,0),MATCH($O195,Prijzen!$C$72:$P$72,0))),"")</f>
        <v/>
      </c>
      <c r="C195" s="260" t="inlineStr">
        <is>
          <t>EUR</t>
        </is>
      </c>
      <c r="D195" s="270" t="n">
        <v>1</v>
      </c>
      <c r="E195" s="305" t="n">
        <v>1</v>
      </c>
      <c r="F195" s="302">
        <f>IFERROR(B195*D195*E195,"")</f>
        <v/>
      </c>
      <c r="G195" s="244" t="n"/>
      <c r="I195" s="306" t="n"/>
      <c r="J195" s="306" t="n"/>
      <c r="K195" s="306" t="n"/>
      <c r="L195" s="306" t="n"/>
      <c r="M195" s="306" t="n"/>
      <c r="N195" s="307" t="n"/>
      <c r="O195" s="306" t="n"/>
      <c r="P195" s="306" t="n"/>
      <c r="Q195" s="306" t="n"/>
      <c r="R195" s="306" t="n"/>
      <c r="S195" s="306" t="n"/>
      <c r="U195" s="308" t="n"/>
    </row>
    <row r="196" hidden="1">
      <c r="A196" s="244">
        <f>IF(J196="","",_xlfn.CONCAT("Kous "&amp;I196&amp;" DN"&amp;P196&amp;" - "&amp;O196&amp;"mm - "&amp;N196&amp;"m - ("&amp;J196&amp;")"))</f>
        <v/>
      </c>
      <c r="B196" s="305">
        <f>IFERROR(IF($K196="UV",IF($S196="S+ liner",($N196*(INDEX(Prijzen!$C$15:$P$70,MATCH($P196,Prijzen!$B$15:$B$70,0),MATCH($O196,Prijzen!$C$14:$O$14,0)))*0.58),IF($S196="M liner",($N196*(INDEX(Prijzen!$C$2:$P$11,MATCH($P196,Prijzen!$B$2:$B$11,0),MATCH($O196,Prijzen!$C$1:$P$1,0))))*0.58,0)),$N196*INDEX(Prijzen!$C$73:$P$94,MATCH($P196,Prijzen!$B$73:$B$94,0),MATCH($O196,Prijzen!$C$72:$P$72,0))),"")</f>
        <v/>
      </c>
      <c r="C196" s="260" t="inlineStr">
        <is>
          <t>EUR</t>
        </is>
      </c>
      <c r="D196" s="270" t="n">
        <v>1</v>
      </c>
      <c r="E196" s="305" t="n">
        <v>1</v>
      </c>
      <c r="F196" s="302">
        <f>IFERROR(B196*D196*E196,"")</f>
        <v/>
      </c>
      <c r="G196" s="244" t="n"/>
      <c r="I196" s="306" t="n"/>
      <c r="J196" s="306" t="n"/>
      <c r="K196" s="306" t="n"/>
      <c r="L196" s="306" t="n"/>
      <c r="M196" s="306" t="n"/>
      <c r="N196" s="307" t="n"/>
      <c r="O196" s="306" t="n"/>
      <c r="P196" s="306" t="n"/>
      <c r="Q196" s="306" t="n"/>
      <c r="R196" s="306" t="n"/>
      <c r="S196" s="306" t="n"/>
      <c r="U196" s="308" t="n"/>
    </row>
    <row r="197" hidden="1">
      <c r="A197" s="244">
        <f>IF(J197="","",_xlfn.CONCAT("Kous "&amp;I197&amp;" DN"&amp;P197&amp;" - "&amp;O197&amp;"mm - "&amp;N197&amp;"m - ("&amp;J197&amp;")"))</f>
        <v/>
      </c>
      <c r="B197" s="305">
        <f>IFERROR(IF($K197="UV",IF($S197="S+ liner",($N197*(INDEX(Prijzen!$C$15:$P$70,MATCH($P197,Prijzen!$B$15:$B$70,0),MATCH($O197,Prijzen!$C$14:$O$14,0)))*0.58),IF($S197="M liner",($N197*(INDEX(Prijzen!$C$2:$P$11,MATCH($P197,Prijzen!$B$2:$B$11,0),MATCH($O197,Prijzen!$C$1:$P$1,0))))*0.58,0)),$N197*INDEX(Prijzen!$C$73:$P$94,MATCH($P197,Prijzen!$B$73:$B$94,0),MATCH($O197,Prijzen!$C$72:$P$72,0))),"")</f>
        <v/>
      </c>
      <c r="C197" s="260" t="inlineStr">
        <is>
          <t>EUR</t>
        </is>
      </c>
      <c r="D197" s="270" t="n">
        <v>1</v>
      </c>
      <c r="E197" s="305" t="n">
        <v>1</v>
      </c>
      <c r="F197" s="302">
        <f>IFERROR(B197*D197*E197,"")</f>
        <v/>
      </c>
      <c r="G197" s="244" t="n"/>
      <c r="I197" s="306" t="n"/>
      <c r="J197" s="306" t="n"/>
      <c r="K197" s="306" t="n"/>
      <c r="L197" s="306" t="n"/>
      <c r="M197" s="306" t="n"/>
      <c r="N197" s="307" t="n"/>
      <c r="O197" s="306" t="n"/>
      <c r="P197" s="306" t="n"/>
      <c r="Q197" s="306" t="n"/>
      <c r="R197" s="306" t="n"/>
      <c r="S197" s="306" t="n"/>
      <c r="U197" s="308" t="n"/>
    </row>
    <row r="198" hidden="1">
      <c r="A198" s="244">
        <f>IF(J198="","",_xlfn.CONCAT("Kous "&amp;I198&amp;" DN"&amp;P198&amp;" - "&amp;O198&amp;"mm - "&amp;N198&amp;"m - ("&amp;J198&amp;")"))</f>
        <v/>
      </c>
      <c r="B198" s="305">
        <f>IFERROR(IF($K198="UV",IF($S198="S+ liner",($N198*(INDEX(Prijzen!$C$15:$P$70,MATCH($P198,Prijzen!$B$15:$B$70,0),MATCH($O198,Prijzen!$C$14:$O$14,0)))*0.58),IF($S198="M liner",($N198*(INDEX(Prijzen!$C$2:$P$11,MATCH($P198,Prijzen!$B$2:$B$11,0),MATCH($O198,Prijzen!$C$1:$P$1,0))))*0.58,0)),$N198*INDEX(Prijzen!$C$73:$P$94,MATCH($P198,Prijzen!$B$73:$B$94,0),MATCH($O198,Prijzen!$C$72:$P$72,0))),"")</f>
        <v/>
      </c>
      <c r="C198" s="260" t="inlineStr">
        <is>
          <t>EUR</t>
        </is>
      </c>
      <c r="D198" s="270" t="n">
        <v>1</v>
      </c>
      <c r="E198" s="305" t="n">
        <v>1</v>
      </c>
      <c r="F198" s="302">
        <f>IFERROR(B198*D198*E198,"")</f>
        <v/>
      </c>
      <c r="G198" s="244" t="n"/>
      <c r="I198" s="306" t="n"/>
      <c r="J198" s="306" t="n"/>
      <c r="K198" s="306" t="n"/>
      <c r="L198" s="306" t="n"/>
      <c r="M198" s="306" t="n"/>
      <c r="N198" s="307" t="n"/>
      <c r="O198" s="306" t="n"/>
      <c r="P198" s="306" t="n"/>
      <c r="Q198" s="306" t="n"/>
      <c r="R198" s="306" t="n"/>
      <c r="S198" s="306" t="n"/>
      <c r="U198" s="308" t="n"/>
    </row>
    <row r="199" hidden="1">
      <c r="A199" s="244">
        <f>IF(J199="","",_xlfn.CONCAT("Kous "&amp;I199&amp;" DN"&amp;P199&amp;" - "&amp;O199&amp;"mm - "&amp;N199&amp;"m - ("&amp;J199&amp;")"))</f>
        <v/>
      </c>
      <c r="B199" s="305">
        <f>IFERROR(IF($K199="UV",IF($S199="S+ liner",($N199*(INDEX(Prijzen!$C$15:$P$70,MATCH($P199,Prijzen!$B$15:$B$70,0),MATCH($O199,Prijzen!$C$14:$O$14,0)))*0.58),IF($S199="M liner",($N199*(INDEX(Prijzen!$C$2:$P$11,MATCH($P199,Prijzen!$B$2:$B$11,0),MATCH($O199,Prijzen!$C$1:$P$1,0))))*0.58,0)),$N199*INDEX(Prijzen!$C$73:$P$94,MATCH($P199,Prijzen!$B$73:$B$94,0),MATCH($O199,Prijzen!$C$72:$P$72,0))),"")</f>
        <v/>
      </c>
      <c r="C199" s="260" t="inlineStr">
        <is>
          <t>EUR</t>
        </is>
      </c>
      <c r="D199" s="270" t="n">
        <v>1</v>
      </c>
      <c r="E199" s="305" t="n">
        <v>1</v>
      </c>
      <c r="F199" s="302">
        <f>IFERROR(B199*D199*E199,"")</f>
        <v/>
      </c>
      <c r="G199" s="244" t="n"/>
      <c r="I199" s="306" t="n"/>
      <c r="J199" s="306" t="n"/>
      <c r="K199" s="306" t="n"/>
      <c r="L199" s="306" t="n"/>
      <c r="M199" s="306" t="n"/>
      <c r="N199" s="307" t="n"/>
      <c r="O199" s="306" t="n"/>
      <c r="P199" s="306" t="n"/>
      <c r="Q199" s="306" t="n"/>
      <c r="R199" s="306" t="n"/>
      <c r="S199" s="306" t="n"/>
    </row>
    <row r="200" hidden="1">
      <c r="A200" s="244">
        <f>IF(J200="","",_xlfn.CONCAT("Kous "&amp;I200&amp;" DN"&amp;P200&amp;" - "&amp;O200&amp;"mm - "&amp;N200&amp;"m - ("&amp;J200&amp;")"))</f>
        <v/>
      </c>
      <c r="B200" s="305">
        <f>IFERROR(IF($K200="UV",IF($S200="S+ liner",($N200*(INDEX(Prijzen!$C$15:$P$70,MATCH($P200,Prijzen!$B$15:$B$70,0),MATCH($O200,Prijzen!$C$14:$O$14,0)))*0.58),IF($S200="M liner",($N200*(INDEX(Prijzen!$C$2:$P$11,MATCH($P200,Prijzen!$B$2:$B$11,0),MATCH($O200,Prijzen!$C$1:$P$1,0))))*0.58,0)),$N200*INDEX(Prijzen!$C$73:$P$94,MATCH($P200,Prijzen!$B$73:$B$94,0),MATCH($O200,Prijzen!$C$72:$P$72,0))),"")</f>
        <v/>
      </c>
      <c r="C200" s="260" t="inlineStr">
        <is>
          <t>EUR</t>
        </is>
      </c>
      <c r="D200" s="270" t="n">
        <v>1</v>
      </c>
      <c r="E200" s="305" t="n">
        <v>1</v>
      </c>
      <c r="F200" s="302">
        <f>IFERROR(B200*D200*E200,"")</f>
        <v/>
      </c>
      <c r="G200" s="244" t="n"/>
      <c r="I200" s="306" t="n"/>
      <c r="J200" s="306" t="n"/>
      <c r="K200" s="306" t="n"/>
      <c r="L200" s="306" t="n"/>
      <c r="M200" s="306" t="n"/>
      <c r="N200" s="307" t="n"/>
      <c r="O200" s="306" t="n"/>
      <c r="P200" s="306" t="n"/>
      <c r="Q200" s="306" t="n"/>
      <c r="R200" s="306" t="n"/>
      <c r="S200" s="306" t="n"/>
    </row>
    <row r="201" hidden="1">
      <c r="A201" s="244">
        <f>IF(J201="","",_xlfn.CONCAT("Kous "&amp;I201&amp;" DN"&amp;P201&amp;" - "&amp;O201&amp;"mm - "&amp;N201&amp;"m - ("&amp;J201&amp;")"))</f>
        <v/>
      </c>
      <c r="B201" s="305">
        <f>IFERROR(IF($K201="UV",IF($S201="S+ liner",($N201*(INDEX(Prijzen!$C$15:$P$70,MATCH($P201,Prijzen!$B$15:$B$70,0),MATCH($O201,Prijzen!$C$14:$O$14,0)))*0.58),IF($S201="M liner",($N201*(INDEX(Prijzen!$C$2:$P$11,MATCH($P201,Prijzen!$B$2:$B$11,0),MATCH($O201,Prijzen!$C$1:$P$1,0))))*0.58,0)),$N201*INDEX(Prijzen!$C$73:$P$94,MATCH($P201,Prijzen!$B$73:$B$94,0),MATCH($O201,Prijzen!$C$72:$P$72,0))),"")</f>
        <v/>
      </c>
      <c r="C201" s="260" t="inlineStr">
        <is>
          <t>EUR</t>
        </is>
      </c>
      <c r="D201" s="270" t="n">
        <v>1</v>
      </c>
      <c r="E201" s="305" t="n">
        <v>1</v>
      </c>
      <c r="F201" s="302">
        <f>IFERROR(B201*D201*E201,"")</f>
        <v/>
      </c>
      <c r="G201" s="244" t="n"/>
      <c r="I201" s="306" t="n"/>
      <c r="J201" s="306" t="n"/>
      <c r="K201" s="306" t="n"/>
      <c r="L201" s="306" t="n"/>
      <c r="M201" s="306" t="n"/>
      <c r="N201" s="307" t="n"/>
      <c r="O201" s="306" t="n"/>
      <c r="P201" s="306" t="n"/>
      <c r="Q201" s="306" t="n"/>
      <c r="R201" s="306" t="n"/>
      <c r="S201" s="306" t="n"/>
    </row>
    <row r="202" hidden="1">
      <c r="A202" s="244">
        <f>IF(J202="","",_xlfn.CONCAT("Kous "&amp;I202&amp;" DN"&amp;P202&amp;" - "&amp;O202&amp;"mm - "&amp;N202&amp;"m - ("&amp;J202&amp;")"))</f>
        <v/>
      </c>
      <c r="B202" s="305">
        <f>IFERROR(IF($K202="UV",IF($S202="S+ liner",($N202*(INDEX(Prijzen!$C$15:$P$70,MATCH($P202,Prijzen!$B$15:$B$70,0),MATCH($O202,Prijzen!$C$14:$O$14,0)))*0.58),IF($S202="M liner",($N202*(INDEX(Prijzen!$C$2:$P$11,MATCH($P202,Prijzen!$B$2:$B$11,0),MATCH($O202,Prijzen!$C$1:$P$1,0))))*0.58,0)),$N202*INDEX(Prijzen!$C$73:$P$94,MATCH($P202,Prijzen!$B$73:$B$94,0),MATCH($O202,Prijzen!$C$72:$P$72,0))),"")</f>
        <v/>
      </c>
      <c r="C202" s="260" t="inlineStr">
        <is>
          <t>EUR</t>
        </is>
      </c>
      <c r="D202" s="270" t="n">
        <v>1</v>
      </c>
      <c r="E202" s="305" t="n">
        <v>1</v>
      </c>
      <c r="F202" s="302">
        <f>IFERROR(B202*D202*E202,"")</f>
        <v/>
      </c>
      <c r="G202" s="244" t="n"/>
      <c r="I202" s="306" t="n"/>
      <c r="J202" s="306" t="n"/>
      <c r="K202" s="306" t="n"/>
      <c r="L202" s="306" t="n"/>
      <c r="M202" s="306" t="n"/>
      <c r="N202" s="307" t="n"/>
      <c r="O202" s="306" t="n"/>
      <c r="P202" s="306" t="n"/>
      <c r="Q202" s="306" t="n"/>
      <c r="R202" s="306" t="n"/>
      <c r="S202" s="306" t="n"/>
    </row>
    <row r="203" hidden="1">
      <c r="A203" s="244">
        <f>IF(J203="","",_xlfn.CONCAT("Kous "&amp;I203&amp;" DN"&amp;P203&amp;" - "&amp;O203&amp;"mm - "&amp;N203&amp;"m - ("&amp;J203&amp;")"))</f>
        <v/>
      </c>
      <c r="B203" s="305">
        <f>IFERROR(IF($K203="UV",IF($S203="S+ liner",($N203*(INDEX(Prijzen!$C$15:$P$70,MATCH($P203,Prijzen!$B$15:$B$70,0),MATCH($O203,Prijzen!$C$14:$O$14,0)))*0.58),IF($S203="M liner",($N203*(INDEX(Prijzen!$C$2:$P$11,MATCH($P203,Prijzen!$B$2:$B$11,0),MATCH($O203,Prijzen!$C$1:$P$1,0))))*0.58,0)),$N203*INDEX(Prijzen!$C$73:$P$94,MATCH($P203,Prijzen!$B$73:$B$94,0),MATCH($O203,Prijzen!$C$72:$P$72,0))),"")</f>
        <v/>
      </c>
      <c r="C203" s="260" t="inlineStr">
        <is>
          <t>EUR</t>
        </is>
      </c>
      <c r="D203" s="270" t="n">
        <v>1</v>
      </c>
      <c r="E203" s="305" t="n">
        <v>1</v>
      </c>
      <c r="F203" s="302">
        <f>IFERROR(B203*D203*E203,"")</f>
        <v/>
      </c>
      <c r="G203" s="244" t="n"/>
      <c r="I203" s="306" t="n"/>
      <c r="J203" s="306" t="n"/>
      <c r="K203" s="306" t="n"/>
      <c r="L203" s="306" t="n"/>
      <c r="M203" s="306" t="n"/>
      <c r="N203" s="307" t="n"/>
      <c r="O203" s="306" t="n"/>
      <c r="P203" s="306" t="n"/>
      <c r="Q203" s="306" t="n"/>
      <c r="R203" s="306" t="n"/>
      <c r="S203" s="306" t="n"/>
    </row>
    <row r="204" hidden="1">
      <c r="A204" s="244">
        <f>IF(J204="","",_xlfn.CONCAT("Kous "&amp;I204&amp;" DN"&amp;P204&amp;" - "&amp;O204&amp;"mm - "&amp;N204&amp;"m - ("&amp;J204&amp;")"))</f>
        <v/>
      </c>
      <c r="B204" s="305">
        <f>IFERROR(IF($K204="UV",IF($S204="S+ liner",($N204*(INDEX(Prijzen!$C$15:$P$70,MATCH($P204,Prijzen!$B$15:$B$70,0),MATCH($O204,Prijzen!$C$14:$O$14,0)))*0.58),IF($S204="M liner",($N204*(INDEX(Prijzen!$C$2:$P$11,MATCH($P204,Prijzen!$B$2:$B$11,0),MATCH($O204,Prijzen!$C$1:$P$1,0))))*0.58,0)),$N204*INDEX(Prijzen!$C$73:$P$94,MATCH($P204,Prijzen!$B$73:$B$94,0),MATCH($O204,Prijzen!$C$72:$P$72,0))),"")</f>
        <v/>
      </c>
      <c r="C204" s="260" t="inlineStr">
        <is>
          <t>EUR</t>
        </is>
      </c>
      <c r="D204" s="270" t="n">
        <v>1</v>
      </c>
      <c r="E204" s="305" t="n">
        <v>1</v>
      </c>
      <c r="F204" s="302">
        <f>IFERROR(B204*D204*E204,"")</f>
        <v/>
      </c>
      <c r="G204" s="244" t="n"/>
      <c r="I204" s="306" t="n"/>
      <c r="J204" s="306" t="n"/>
      <c r="K204" s="306" t="n"/>
      <c r="L204" s="306" t="n"/>
      <c r="M204" s="306" t="n"/>
      <c r="N204" s="307" t="n"/>
      <c r="O204" s="306" t="n"/>
      <c r="P204" s="306" t="n"/>
      <c r="Q204" s="306" t="n"/>
      <c r="R204" s="306" t="n"/>
      <c r="S204" s="306" t="n"/>
    </row>
    <row r="205">
      <c r="A205" s="244" t="n"/>
      <c r="B205" s="244" t="n"/>
      <c r="C205" s="260" t="n"/>
      <c r="D205" s="261" t="n"/>
      <c r="E205" s="244" t="n"/>
      <c r="F205" s="300" t="n"/>
      <c r="G205" s="244" t="n"/>
    </row>
    <row r="206">
      <c r="A206" s="265" t="inlineStr">
        <is>
          <t>Overig</t>
        </is>
      </c>
      <c r="B206" s="257" t="n"/>
      <c r="C206" s="266" t="n"/>
      <c r="D206" s="267" t="n"/>
      <c r="E206" s="257" t="n"/>
      <c r="F206" s="268" t="n"/>
      <c r="G206" s="257" t="n"/>
    </row>
    <row r="207">
      <c r="A207" s="244" t="inlineStr">
        <is>
          <t>Verkeersregelaars</t>
        </is>
      </c>
      <c r="B207" s="244" t="n"/>
      <c r="C207" s="260" t="inlineStr">
        <is>
          <t>uur</t>
        </is>
      </c>
      <c r="D207" s="271" t="n">
        <v>42</v>
      </c>
      <c r="E207" s="269" t="n">
        <v>1</v>
      </c>
      <c r="F207" s="302">
        <f>B207*D207*E207</f>
        <v/>
      </c>
      <c r="G207" s="244" t="n"/>
    </row>
    <row r="208">
      <c r="A208" s="244" t="inlineStr">
        <is>
          <t>Verkeersmaatregelen</t>
        </is>
      </c>
      <c r="B208" s="244" t="n"/>
      <c r="C208" s="260" t="inlineStr">
        <is>
          <t>EUR</t>
        </is>
      </c>
      <c r="D208" s="271" t="n">
        <v>1</v>
      </c>
      <c r="E208" s="269" t="n">
        <v>1</v>
      </c>
      <c r="F208" s="302">
        <f>B208*D208*E208</f>
        <v/>
      </c>
      <c r="G208" s="244" t="n"/>
    </row>
    <row r="209">
      <c r="A209" s="244" t="inlineStr">
        <is>
          <t>Verkeersplannen</t>
        </is>
      </c>
      <c r="B209" s="244" t="n"/>
      <c r="C209" s="260" t="inlineStr">
        <is>
          <t>EUR</t>
        </is>
      </c>
      <c r="D209" s="271" t="n">
        <v>1</v>
      </c>
      <c r="E209" s="269" t="n">
        <v>1</v>
      </c>
      <c r="F209" s="302">
        <f>B209*D209*E209</f>
        <v/>
      </c>
      <c r="G209" s="244" t="n"/>
    </row>
    <row r="210">
      <c r="A210" s="244" t="inlineStr">
        <is>
          <t>Civiele werkzaamheden</t>
        </is>
      </c>
      <c r="B210" s="244" t="n"/>
      <c r="C210" s="260" t="inlineStr">
        <is>
          <t>EUR</t>
        </is>
      </c>
      <c r="D210" s="271" t="n">
        <v>1</v>
      </c>
      <c r="E210" s="269" t="n">
        <v>1</v>
      </c>
      <c r="F210" s="302">
        <f>B210*D210*E210</f>
        <v/>
      </c>
      <c r="G210" s="244" t="n"/>
    </row>
    <row r="211">
      <c r="A211" s="244" t="inlineStr">
        <is>
          <t>Putrenovatie</t>
        </is>
      </c>
      <c r="B211" s="244" t="n"/>
      <c r="C211" s="260" t="inlineStr">
        <is>
          <t>EUR</t>
        </is>
      </c>
      <c r="D211" s="271" t="n">
        <v>1</v>
      </c>
      <c r="E211" s="269" t="n">
        <v>1</v>
      </c>
      <c r="F211" s="302">
        <f>B211*D211*E211</f>
        <v/>
      </c>
      <c r="G211" s="244" t="n"/>
    </row>
    <row r="212">
      <c r="A212" s="244" t="inlineStr">
        <is>
          <t>Pompen</t>
        </is>
      </c>
      <c r="B212" s="244" t="n"/>
      <c r="C212" s="260" t="inlineStr">
        <is>
          <t>EUR</t>
        </is>
      </c>
      <c r="D212" s="271" t="n">
        <v>1</v>
      </c>
      <c r="E212" s="269" t="n">
        <v>1</v>
      </c>
      <c r="F212" s="302">
        <f>B212*D212*E212</f>
        <v/>
      </c>
      <c r="G212" s="244" t="n"/>
    </row>
    <row r="213">
      <c r="A213" s="244" t="n"/>
      <c r="B213" s="244" t="n"/>
      <c r="C213" s="260" t="n"/>
      <c r="D213" s="261" t="n"/>
      <c r="E213" s="244" t="n"/>
      <c r="F213" s="300" t="n"/>
      <c r="G213" s="244" t="n"/>
    </row>
    <row r="214">
      <c r="A214" s="265" t="inlineStr">
        <is>
          <t xml:space="preserve">Uitvoering </t>
        </is>
      </c>
      <c r="B214" s="257" t="n"/>
      <c r="C214" s="266" t="n"/>
      <c r="D214" s="267" t="n"/>
      <c r="E214" s="257" t="n"/>
      <c r="F214" s="268" t="n"/>
      <c r="G214" s="257" t="n"/>
    </row>
    <row r="215">
      <c r="A215" s="244" t="inlineStr">
        <is>
          <t>Uitvoerder</t>
        </is>
      </c>
      <c r="B215" s="244" t="n"/>
      <c r="C215" s="260" t="inlineStr">
        <is>
          <t>uur</t>
        </is>
      </c>
      <c r="D215" s="301">
        <f>'Tarieven 2026'!$F$37</f>
        <v/>
      </c>
      <c r="E215" s="269" t="n">
        <v>1</v>
      </c>
      <c r="F215" s="302">
        <f>B215*D215*E215</f>
        <v/>
      </c>
      <c r="G215" s="303" t="inlineStr">
        <is>
          <t>Uitvoerder uurtarief — Tarieven 2026</t>
        </is>
      </c>
    </row>
    <row r="216">
      <c r="A216" s="244" t="inlineStr">
        <is>
          <t>Projectcoördinator</t>
        </is>
      </c>
      <c r="B216" s="244" t="n"/>
      <c r="C216" s="260" t="inlineStr">
        <is>
          <t>uur</t>
        </is>
      </c>
      <c r="D216" s="301">
        <f>'Tarieven 2026'!$F$36</f>
        <v/>
      </c>
      <c r="E216" s="269" t="n">
        <v>1</v>
      </c>
      <c r="F216" s="302">
        <f>B216*D216*E216</f>
        <v/>
      </c>
      <c r="G216" s="303" t="inlineStr">
        <is>
          <t>Werkvoorbereider uurtarief — Tarieven 2026</t>
        </is>
      </c>
    </row>
    <row r="217">
      <c r="A217" s="244" t="inlineStr">
        <is>
          <t>Projectleider</t>
        </is>
      </c>
      <c r="B217" s="244" t="n"/>
      <c r="C217" s="260" t="inlineStr">
        <is>
          <t>uur</t>
        </is>
      </c>
      <c r="D217" s="301">
        <f>'Tarieven 2026'!$F$38</f>
        <v/>
      </c>
      <c r="E217" s="269" t="n">
        <v>1</v>
      </c>
      <c r="F217" s="302">
        <f>B217*D217*E217</f>
        <v/>
      </c>
      <c r="G217" s="303" t="inlineStr">
        <is>
          <t>Projectleider uurtarief — Tarieven 2026</t>
        </is>
      </c>
    </row>
    <row r="218">
      <c r="A218" s="244" t="n"/>
      <c r="B218" s="244" t="n"/>
      <c r="C218" s="260" t="n"/>
      <c r="D218" s="261" t="n"/>
      <c r="E218" s="244" t="n"/>
      <c r="F218" s="300" t="n"/>
      <c r="G218" s="244" t="n"/>
    </row>
    <row r="219">
      <c r="A219" s="244" t="n"/>
      <c r="B219" s="244" t="n"/>
      <c r="C219" s="260" t="n"/>
      <c r="D219" s="261" t="n"/>
      <c r="E219" s="244" t="n"/>
      <c r="F219" s="300" t="n"/>
      <c r="G219" s="244" t="n"/>
    </row>
    <row r="220" customFormat="1" s="18">
      <c r="A220" s="273" t="inlineStr">
        <is>
          <t>subtotaal</t>
        </is>
      </c>
      <c r="B220" s="289" t="n"/>
      <c r="C220" s="290" t="n"/>
      <c r="D220" s="291" t="n"/>
      <c r="E220" s="289" t="n"/>
      <c r="F220" s="292">
        <f>SUM(F56:F219)</f>
        <v/>
      </c>
      <c r="G220" s="293" t="n"/>
      <c r="U220" s="20" t="n"/>
    </row>
    <row r="221" customFormat="1" s="18">
      <c r="A221" s="244" t="n"/>
      <c r="B221" s="282" t="n"/>
      <c r="C221" s="283" t="n"/>
      <c r="D221" s="284" t="n"/>
      <c r="E221" s="282" t="n"/>
      <c r="F221" s="295" t="n"/>
      <c r="G221" s="296" t="n"/>
      <c r="U221" s="20" t="n"/>
    </row>
    <row r="222" customFormat="1" s="18">
      <c r="A222" s="288" t="inlineStr">
        <is>
          <t>Algemenkosten 10%</t>
        </is>
      </c>
      <c r="B222" s="289" t="n">
        <v>10</v>
      </c>
      <c r="C222" s="290" t="inlineStr">
        <is>
          <t>%</t>
        </is>
      </c>
      <c r="D222" s="291" t="n"/>
      <c r="E222" s="289" t="n"/>
      <c r="F222" s="292">
        <f>SUM(F220:F221)*B222%</f>
        <v/>
      </c>
      <c r="G222" s="293" t="n"/>
      <c r="U222" s="20" t="n"/>
    </row>
    <row r="223" customFormat="1" s="18">
      <c r="A223" s="294" t="n"/>
      <c r="B223" s="282" t="n"/>
      <c r="C223" s="283" t="n"/>
      <c r="D223" s="284" t="n"/>
      <c r="E223" s="282" t="n"/>
      <c r="F223" s="295" t="n"/>
      <c r="G223" s="296" t="n"/>
      <c r="U223" s="20" t="n"/>
    </row>
    <row r="224" ht="15" customHeight="1">
      <c r="A224" s="273" t="inlineStr">
        <is>
          <t>Totaal prognose kosten nog uit te voeren</t>
        </is>
      </c>
      <c r="B224" s="289" t="n"/>
      <c r="C224" s="290" t="n"/>
      <c r="D224" s="291" t="n"/>
      <c r="E224" s="289" t="n"/>
      <c r="F224" s="309">
        <f>SUM(F220:F222)</f>
        <v/>
      </c>
      <c r="G224" s="273" t="n"/>
    </row>
    <row r="225">
      <c r="A225" s="244" t="n"/>
      <c r="B225" s="244" t="n"/>
      <c r="C225" s="244" t="n"/>
      <c r="D225" s="244" t="n"/>
      <c r="E225" s="244" t="n"/>
      <c r="F225" s="244" t="n"/>
      <c r="G225" s="244" t="n"/>
    </row>
    <row r="226" customFormat="1" s="34">
      <c r="A226" s="265" t="inlineStr">
        <is>
          <t>Prosnose kosten einde werk</t>
        </is>
      </c>
      <c r="B226" s="254" t="n"/>
      <c r="C226" s="255" t="n"/>
      <c r="D226" s="256" t="n"/>
      <c r="E226" s="254" t="n"/>
      <c r="F226" s="268" t="n"/>
      <c r="G226" s="257" t="n"/>
      <c r="U226" s="31" t="n"/>
    </row>
    <row r="227" ht="15" customFormat="1" customHeight="1" s="18">
      <c r="A227" s="273" t="inlineStr">
        <is>
          <t>Totaal prognose kosten einde werk</t>
        </is>
      </c>
      <c r="B227" s="289" t="n"/>
      <c r="C227" s="290" t="n"/>
      <c r="D227" s="291" t="n"/>
      <c r="E227" s="289" t="n"/>
      <c r="F227" s="309">
        <f>+F40+F51+F224</f>
        <v/>
      </c>
      <c r="G227" s="273" t="n"/>
      <c r="U227" s="20" t="n"/>
    </row>
    <row r="228" customFormat="1" s="18">
      <c r="A228" s="244" t="n"/>
      <c r="B228" s="282" t="n"/>
      <c r="C228" s="283" t="n"/>
      <c r="D228" s="284" t="n"/>
      <c r="E228" s="282" t="n"/>
      <c r="F228" s="285" t="n"/>
      <c r="G228" s="244" t="n"/>
      <c r="U228" s="20" t="n"/>
    </row>
    <row r="229" customFormat="1" s="3">
      <c r="A229" s="265" t="inlineStr">
        <is>
          <t>Resultaat</t>
        </is>
      </c>
      <c r="B229" s="254" t="n"/>
      <c r="C229" s="255" t="n"/>
      <c r="D229" s="256" t="n"/>
      <c r="E229" s="254" t="n"/>
      <c r="F229" s="255" t="n"/>
      <c r="G229" s="257" t="n"/>
      <c r="U229" s="10" t="n"/>
    </row>
    <row r="230">
      <c r="A230" s="244" t="n"/>
      <c r="B230" s="244" t="n"/>
      <c r="C230" s="244" t="n"/>
      <c r="D230" s="244" t="n"/>
      <c r="E230" s="244" t="n"/>
      <c r="F230" s="260" t="n"/>
      <c r="G230" s="244" t="n"/>
    </row>
    <row r="231" customFormat="1" s="34">
      <c r="A231" s="265" t="inlineStr">
        <is>
          <t>Prognose resultaat  einde werk</t>
        </is>
      </c>
      <c r="B231" s="254" t="n"/>
      <c r="C231" s="255" t="n"/>
      <c r="D231" s="256" t="n"/>
      <c r="E231" s="254" t="n"/>
      <c r="F231" s="268" t="n"/>
      <c r="G231" s="257" t="n"/>
      <c r="U231" s="31" t="n"/>
    </row>
    <row r="232">
      <c r="A232" s="310" t="inlineStr">
        <is>
          <t>Opbrengsen</t>
        </is>
      </c>
      <c r="B232" s="311" t="n"/>
      <c r="C232" s="312" t="n"/>
      <c r="D232" s="313" t="n"/>
      <c r="E232" s="311" t="n"/>
      <c r="F232" s="314">
        <f>+F24</f>
        <v/>
      </c>
      <c r="G232" s="310" t="n"/>
    </row>
    <row r="233">
      <c r="A233" s="310" t="inlineStr">
        <is>
          <t>Kosten</t>
        </is>
      </c>
      <c r="B233" s="311" t="n"/>
      <c r="C233" s="312" t="n"/>
      <c r="D233" s="313" t="n"/>
      <c r="E233" s="311" t="n"/>
      <c r="F233" s="314">
        <f>+F227</f>
        <v/>
      </c>
      <c r="G233" s="310" t="n"/>
    </row>
    <row r="234">
      <c r="A234" s="244" t="n"/>
      <c r="B234" s="244" t="n"/>
      <c r="C234" s="244" t="n"/>
      <c r="D234" s="244" t="n"/>
      <c r="E234" s="244" t="n"/>
      <c r="F234" s="244" t="n"/>
      <c r="G234" s="244" t="n"/>
    </row>
    <row r="235" ht="15" customHeight="1">
      <c r="A235" s="310" t="inlineStr">
        <is>
          <t>Resultaat</t>
        </is>
      </c>
      <c r="B235" s="311" t="n"/>
      <c r="C235" s="312" t="n"/>
      <c r="D235" s="313" t="n"/>
      <c r="E235" s="311" t="n"/>
      <c r="F235" s="314">
        <f>F232-F233</f>
        <v/>
      </c>
      <c r="G235" s="310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Blad2">
    <outlinePr summaryBelow="1" summaryRight="1"/>
    <pageSetUpPr/>
  </sheetPr>
  <dimension ref="A1:AX96"/>
  <sheetViews>
    <sheetView showGridLines="0" topLeftCell="A4" zoomScale="70" zoomScaleNormal="7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33" sqref="E33"/>
    </sheetView>
  </sheetViews>
  <sheetFormatPr baseColWidth="8" defaultRowHeight="12.75"/>
  <cols>
    <col width="1.42578125" customWidth="1" min="1" max="1"/>
    <col width="13" bestFit="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10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9" customWidth="1" min="18" max="19"/>
    <col width="9" customWidth="1" min="19" max="19"/>
    <col width="3.42578125" customWidth="1" min="20" max="20"/>
    <col width="1" customWidth="1" min="21" max="21"/>
    <col width="10.7109375" customWidth="1" min="22" max="22"/>
    <col width="30" customWidth="1" min="23" max="23"/>
    <col width="11" customWidth="1" min="24" max="24"/>
    <col width="11" customWidth="1" min="26" max="26"/>
    <col width="11" customWidth="1" min="27" max="27"/>
    <col width="12.28515625" customWidth="1" min="28" max="28"/>
    <col width="11" customWidth="1" min="29" max="29"/>
    <col width="13" customWidth="1" min="31" max="31"/>
  </cols>
  <sheetData>
    <row r="1" ht="13.5" customHeight="1" thickBot="1">
      <c r="B1" s="315" t="inlineStr">
        <is>
          <t>M-Liner DN</t>
        </is>
      </c>
      <c r="C1" s="315" t="n">
        <v>3</v>
      </c>
      <c r="D1" s="315" t="n">
        <v>4</v>
      </c>
      <c r="R1" s="64" t="inlineStr">
        <is>
          <t xml:space="preserve">JK </t>
        </is>
      </c>
      <c r="S1" s="63" t="inlineStr">
        <is>
          <t xml:space="preserve">JK RV </t>
        </is>
      </c>
      <c r="U1" s="65" t="n"/>
      <c r="X1" s="66" t="inlineStr">
        <is>
          <t>nieuw</t>
        </is>
      </c>
      <c r="Y1" s="316" t="n">
        <v>50</v>
      </c>
      <c r="Z1" s="317" t="inlineStr">
        <is>
          <t xml:space="preserve"> ploeg per uur</t>
        </is>
      </c>
      <c r="AA1" s="318" t="inlineStr">
        <is>
          <t>uitvoerder (max 8 uur)</t>
        </is>
      </c>
      <c r="AB1" s="317" t="inlineStr">
        <is>
          <t>project.ldr (max 8 uur)</t>
        </is>
      </c>
      <c r="AC1" s="319" t="n"/>
      <c r="AD1" s="320" t="inlineStr">
        <is>
          <t>Werkdag van</t>
        </is>
      </c>
      <c r="AE1" s="321" t="inlineStr">
        <is>
          <t>Totale kosten / dag</t>
        </is>
      </c>
      <c r="AJ1" s="69" t="n"/>
      <c r="AK1" s="69" t="n"/>
      <c r="AL1" s="69" t="n"/>
      <c r="AM1" s="69" t="n"/>
      <c r="AN1" s="69" t="n"/>
      <c r="AO1" s="61" t="inlineStr">
        <is>
          <t>M-Liner</t>
        </is>
      </c>
      <c r="AP1" s="70" t="n">
        <v>3</v>
      </c>
      <c r="AQ1" s="71" t="n">
        <v>4</v>
      </c>
      <c r="AR1" s="69" t="n"/>
      <c r="AS1" s="69" t="n"/>
      <c r="AT1" s="69" t="n"/>
      <c r="AU1" s="69" t="n"/>
      <c r="AV1" s="69" t="n"/>
      <c r="AW1" s="69" t="n"/>
    </row>
    <row r="2">
      <c r="B2" s="322" t="n">
        <v>100</v>
      </c>
      <c r="C2" s="323">
        <f>IF(AP2+(AP2*$AL$11)=0,"",AP2+(AP2*$AL$11))</f>
        <v/>
      </c>
      <c r="D2" s="323">
        <f>IF(AQ2+(AQ2*$AL$11)=0,"",AQ2+(AQ2*$AL$11))</f>
        <v/>
      </c>
      <c r="R2" s="75" t="n">
        <v>13.11</v>
      </c>
      <c r="S2" s="74" t="n">
        <v>35.52</v>
      </c>
      <c r="U2" s="65" t="n"/>
      <c r="W2" s="324" t="n"/>
      <c r="X2" s="325" t="inlineStr">
        <is>
          <t>oud</t>
        </is>
      </c>
      <c r="Y2" s="326" t="n">
        <v>45</v>
      </c>
      <c r="Z2" s="327" t="n"/>
      <c r="AA2" s="328" t="n"/>
      <c r="AB2" s="327" t="n"/>
      <c r="AC2" s="329" t="inlineStr">
        <is>
          <t>kader</t>
        </is>
      </c>
      <c r="AD2" s="330" t="n"/>
      <c r="AE2" s="331" t="n"/>
      <c r="AJ2" s="69" t="n"/>
      <c r="AK2" s="69" t="n"/>
      <c r="AL2" s="69" t="n"/>
      <c r="AM2" s="69" t="n"/>
      <c r="AN2" s="69" t="n"/>
      <c r="AO2" s="80" t="n">
        <v>100</v>
      </c>
      <c r="AP2" s="81" t="n">
        <v>24.61</v>
      </c>
      <c r="AQ2" s="82" t="n">
        <v>28.84</v>
      </c>
      <c r="AR2" s="69" t="n"/>
      <c r="AS2" s="69" t="n"/>
      <c r="AT2" s="69" t="n"/>
      <c r="AU2" s="69" t="n"/>
      <c r="AV2" s="69" t="n"/>
      <c r="AW2" s="69" t="n"/>
    </row>
    <row r="3" ht="13.5" customHeight="1" thickBot="1">
      <c r="B3" s="322" t="n">
        <v>150</v>
      </c>
      <c r="C3" s="323">
        <f>IF(AP3+(AP3*$AL$11)=0,"",AP3+(AP3*$AL$11))</f>
        <v/>
      </c>
      <c r="D3" s="323">
        <f>IF(AQ3+(AQ3*$AL$11)=0,"",AQ3+(AQ3*$AL$11))</f>
        <v/>
      </c>
      <c r="R3" s="86" t="n">
        <v>14</v>
      </c>
      <c r="S3" s="85" t="n">
        <v>36.36</v>
      </c>
      <c r="U3" s="65" t="n"/>
      <c r="W3" s="87" t="n"/>
      <c r="X3" s="88" t="inlineStr">
        <is>
          <t>materieel</t>
        </is>
      </c>
      <c r="Y3" s="332" t="inlineStr">
        <is>
          <t>man</t>
        </is>
      </c>
      <c r="Z3" s="333" t="n"/>
      <c r="AA3" s="334" t="n"/>
      <c r="AB3" s="333" t="n"/>
      <c r="AC3" s="335" t="inlineStr">
        <is>
          <t>per uur</t>
        </is>
      </c>
      <c r="AD3" s="336" t="n"/>
      <c r="AE3" s="337" t="n"/>
      <c r="AJ3" s="226" t="inlineStr">
        <is>
          <t>2022 PRIJZEN</t>
        </is>
      </c>
      <c r="AN3" s="69" t="n"/>
      <c r="AO3" s="91" t="n">
        <v>150</v>
      </c>
      <c r="AP3" s="92" t="n">
        <v>30.03</v>
      </c>
      <c r="AQ3" s="93" t="n">
        <v>34.19</v>
      </c>
      <c r="AR3" s="69" t="n"/>
      <c r="AS3" s="69" t="n"/>
      <c r="AT3" s="69" t="n"/>
      <c r="AU3" s="69" t="n"/>
      <c r="AV3" s="69" t="n"/>
      <c r="AW3" s="69" t="n"/>
    </row>
    <row r="4" ht="13.5" customHeight="1" thickTop="1">
      <c r="B4" s="322" t="n">
        <v>200</v>
      </c>
      <c r="C4" s="323">
        <f>IF(AP4+(AP4*$AL$11)=0,"",AP4+(AP4*$AL$11))</f>
        <v/>
      </c>
      <c r="D4" s="323">
        <f>IF(AQ4+(AQ4*$AL$11)=0,"",AQ4+(AQ4*$AL$11))</f>
        <v/>
      </c>
      <c r="R4" s="86" t="n">
        <v>15.66</v>
      </c>
      <c r="S4" s="85" t="n">
        <v>37.04</v>
      </c>
      <c r="U4" s="65" t="n"/>
      <c r="V4" t="n">
        <v>1</v>
      </c>
      <c r="W4" s="338">
        <f>_xlfn.CONCAT("Kleine waterset (",Y4," man)")</f>
        <v/>
      </c>
      <c r="X4" s="339" t="n">
        <v>175.2</v>
      </c>
      <c r="Y4" s="340" t="n">
        <v>4</v>
      </c>
      <c r="Z4" s="341">
        <f>SUM((Y4*$Y$2)+X4)</f>
        <v/>
      </c>
      <c r="AA4" s="342" t="n">
        <v>55</v>
      </c>
      <c r="AB4" s="341" t="n">
        <v>63</v>
      </c>
      <c r="AC4" s="343">
        <f>AA4+AB4</f>
        <v/>
      </c>
      <c r="AD4" s="343" t="n">
        <v>10</v>
      </c>
      <c r="AE4" s="343">
        <f>SUM((IF(AD4&gt;8,(SUM(AB4+AA4)*8),(SUM(AB4+AA4)*AD4)))+(Z4*AD4))</f>
        <v/>
      </c>
      <c r="AN4" s="69" t="n"/>
      <c r="AO4" s="91" t="n">
        <v>200</v>
      </c>
      <c r="AP4" s="92" t="n">
        <v>36.31</v>
      </c>
      <c r="AQ4" s="93" t="n">
        <v>42.28</v>
      </c>
      <c r="AR4" s="69" t="n"/>
      <c r="AS4" s="69" t="n"/>
      <c r="AT4" s="69" t="n"/>
      <c r="AU4" s="69" t="n"/>
      <c r="AV4" s="69" t="n"/>
      <c r="AW4" s="69" t="n"/>
    </row>
    <row r="5">
      <c r="B5" s="322" t="n">
        <v>225</v>
      </c>
      <c r="C5" s="323">
        <f>IF(AP5+(AP5*$AL$11)=0,"",AP5+(AP5*$AL$11))</f>
        <v/>
      </c>
      <c r="D5" s="323">
        <f>IF(AQ5+(AQ5*$AL$11)=0,"",AQ5+(AQ5*$AL$11))</f>
        <v/>
      </c>
      <c r="R5" s="86" t="n">
        <v>15.66</v>
      </c>
      <c r="S5" s="85" t="n">
        <v>37.04</v>
      </c>
      <c r="U5" s="65" t="n"/>
      <c r="V5" t="n">
        <v>1</v>
      </c>
      <c r="W5" s="338">
        <f>_xlfn.CONCAT("Grote waterset (",Y5," man)")</f>
        <v/>
      </c>
      <c r="X5" s="339" t="n">
        <v>211.65</v>
      </c>
      <c r="Y5" s="344" t="n">
        <v>5</v>
      </c>
      <c r="Z5" s="341">
        <f>SUM((Y5*$Y$2)+X5)</f>
        <v/>
      </c>
      <c r="AA5" s="345" t="n">
        <v>55</v>
      </c>
      <c r="AB5" s="341" t="n">
        <v>63</v>
      </c>
      <c r="AC5" s="343">
        <f>AA5+AB5</f>
        <v/>
      </c>
      <c r="AD5" s="343" t="n">
        <v>10</v>
      </c>
      <c r="AE5" s="343">
        <f>SUM((IF(AD5&gt;8,(SUM(AB5+AA5)*8),(SUM(AB5+AA5)*AD5)))+(Z5*AD5))</f>
        <v/>
      </c>
      <c r="AN5" s="69" t="n"/>
      <c r="AO5" s="91" t="n">
        <v>225</v>
      </c>
      <c r="AP5" s="92" t="n">
        <v>39.27</v>
      </c>
      <c r="AQ5" s="93" t="n">
        <v>46.15</v>
      </c>
      <c r="AR5" s="69" t="n"/>
      <c r="AS5" s="69" t="n"/>
      <c r="AT5" s="69" t="n"/>
      <c r="AU5" s="69" t="n"/>
      <c r="AV5" s="69" t="n"/>
      <c r="AW5" s="69" t="n"/>
    </row>
    <row r="6">
      <c r="B6" s="322" t="n">
        <v>250</v>
      </c>
      <c r="C6" s="323">
        <f>IF(AP6+(AP6*$AL$11)=0,"",AP6+(AP6*$AL$11))</f>
        <v/>
      </c>
      <c r="D6" s="323">
        <f>IF(AQ6+(AQ6*$AL$11)=0,"",AQ6+(AQ6*$AL$11))</f>
        <v/>
      </c>
      <c r="R6" s="86" t="n">
        <v>16.76</v>
      </c>
      <c r="S6" s="85" t="n">
        <v>39.48</v>
      </c>
      <c r="U6" s="65" t="n"/>
      <c r="V6" t="n">
        <v>1</v>
      </c>
      <c r="W6" s="338">
        <f>_xlfn.CONCAT("Grote waterset (",Y6," man)")</f>
        <v/>
      </c>
      <c r="X6" s="339" t="n">
        <v>211.65</v>
      </c>
      <c r="Y6" s="344" t="n">
        <v>4</v>
      </c>
      <c r="Z6" s="341">
        <f>SUM((Y6*$Y$2)+X6)</f>
        <v/>
      </c>
      <c r="AA6" s="345" t="n">
        <v>55</v>
      </c>
      <c r="AB6" s="341" t="n">
        <v>63</v>
      </c>
      <c r="AC6" s="343">
        <f>AA6+AB6</f>
        <v/>
      </c>
      <c r="AD6" s="343" t="n">
        <v>10</v>
      </c>
      <c r="AE6" s="343">
        <f>SUM((IF(AD6&gt;8,(SUM(AB6+AA6)*8),(SUM(AB6+AA6)*AD6)))+(Z6*AD6))</f>
        <v/>
      </c>
      <c r="AN6" s="69" t="n"/>
      <c r="AO6" s="91" t="n">
        <v>250</v>
      </c>
      <c r="AP6" s="92" t="n">
        <v>42.49</v>
      </c>
      <c r="AQ6" s="93" t="n">
        <v>50.23</v>
      </c>
      <c r="AR6" s="69" t="n"/>
      <c r="AS6" s="69" t="n"/>
      <c r="AT6" s="69" t="n"/>
      <c r="AU6" s="69" t="n"/>
      <c r="AV6" s="69" t="n"/>
      <c r="AW6" s="69" t="n"/>
    </row>
    <row r="7">
      <c r="B7" s="322" t="n">
        <v>300</v>
      </c>
      <c r="C7" s="323">
        <f>IF(AP7+(AP7*$AL$11)=0,"",AP7+(AP7*$AL$11))</f>
        <v/>
      </c>
      <c r="D7" s="323">
        <f>IF(AQ7+(AQ7*$AL$11)=0,"",AQ7+(AQ7*$AL$11))</f>
        <v/>
      </c>
      <c r="R7" s="86" t="n">
        <v>18.2</v>
      </c>
      <c r="S7" s="85" t="n">
        <v>40.5</v>
      </c>
      <c r="U7" s="65" t="n"/>
      <c r="V7" t="n">
        <v>1</v>
      </c>
      <c r="W7" s="338">
        <f>_xlfn.CONCAT("Kleine stoomset (",Y7," man)")</f>
        <v/>
      </c>
      <c r="X7" s="339" t="n">
        <v>134.55</v>
      </c>
      <c r="Y7" s="344" t="n">
        <v>4</v>
      </c>
      <c r="Z7" s="341">
        <f>SUM((Y7*$Y$2)+X7)</f>
        <v/>
      </c>
      <c r="AA7" s="345" t="n">
        <v>55</v>
      </c>
      <c r="AB7" s="341" t="n">
        <v>63</v>
      </c>
      <c r="AC7" s="343">
        <f>AA7+AB7</f>
        <v/>
      </c>
      <c r="AD7" s="343" t="n">
        <v>10</v>
      </c>
      <c r="AE7" s="343">
        <f>SUM((IF(AD7&gt;8,(SUM(AB7+AA7)*8),(SUM(AB7+AA7)*AD7)))+(Z7*AD7))</f>
        <v/>
      </c>
      <c r="AJ7" s="69" t="inlineStr">
        <is>
          <t>vanaf 1 maart 2022</t>
        </is>
      </c>
      <c r="AK7" s="69" t="n"/>
      <c r="AL7" s="69" t="n"/>
      <c r="AM7" s="69" t="n"/>
      <c r="AN7" s="69" t="n"/>
      <c r="AO7" s="91" t="n">
        <v>300</v>
      </c>
      <c r="AP7" s="92" t="n">
        <v>48.88</v>
      </c>
      <c r="AQ7" s="93" t="n">
        <v>58.44</v>
      </c>
      <c r="AR7" s="69" t="n"/>
      <c r="AS7" s="69" t="n"/>
      <c r="AT7" s="69" t="n"/>
      <c r="AU7" s="69" t="n"/>
      <c r="AV7" s="69" t="n"/>
      <c r="AW7" s="69" t="n"/>
    </row>
    <row r="8">
      <c r="B8" s="322" t="inlineStr">
        <is>
          <t>250/375</t>
        </is>
      </c>
      <c r="C8" s="323">
        <f>IF(AP8+(AP8*$AL$11)=0,"",AP8+(AP8*$AL$11))</f>
        <v/>
      </c>
      <c r="D8" s="323">
        <f>IF(AQ8+(AQ8*$AL$11)=0,"",AQ8+(AQ8*$AL$11))</f>
        <v/>
      </c>
      <c r="R8" s="86" t="n">
        <v>18.5</v>
      </c>
      <c r="S8" s="85" t="n">
        <v>41.46</v>
      </c>
      <c r="U8" s="65" t="n"/>
      <c r="V8" t="n">
        <v>1</v>
      </c>
      <c r="W8" s="338">
        <f>_xlfn.CONCAT("Grote stoomset (",Y8," man)")</f>
        <v/>
      </c>
      <c r="X8" s="339" t="n">
        <v>227.5</v>
      </c>
      <c r="Y8" s="344" t="n">
        <v>5</v>
      </c>
      <c r="Z8" s="341">
        <f>SUM((Y8*$Y$2)+X8)</f>
        <v/>
      </c>
      <c r="AA8" s="345" t="n">
        <v>55</v>
      </c>
      <c r="AB8" s="341" t="n">
        <v>63</v>
      </c>
      <c r="AC8" s="343">
        <f>AA8+AB8</f>
        <v/>
      </c>
      <c r="AD8" s="343" t="n">
        <v>10</v>
      </c>
      <c r="AE8" s="343">
        <f>SUM((IF(AD8&gt;8,(SUM(AB8+AA8)*8),(SUM(AB8+AA8)*AD8)))+(Z8*AD8))</f>
        <v/>
      </c>
      <c r="AJ8" s="69" t="n"/>
      <c r="AK8" s="69" t="n"/>
      <c r="AL8" s="69" t="n"/>
      <c r="AM8" s="69" t="n"/>
      <c r="AN8" s="69" t="n"/>
      <c r="AO8" s="91" t="inlineStr">
        <is>
          <t>250/375</t>
        </is>
      </c>
      <c r="AP8" s="92" t="n"/>
      <c r="AQ8" s="93" t="n">
        <v>61.75</v>
      </c>
      <c r="AR8" s="69" t="n"/>
      <c r="AS8" s="69" t="n"/>
      <c r="AT8" s="69" t="n"/>
      <c r="AU8" s="69" t="n"/>
      <c r="AV8" s="69" t="n"/>
      <c r="AW8" s="69" t="n"/>
    </row>
    <row r="9">
      <c r="B9" s="322" t="n">
        <v>350</v>
      </c>
      <c r="C9" s="323">
        <f>IF(AP9+(AP9*$AL$11)=0,"",AP9+(AP9*$AL$11))</f>
        <v/>
      </c>
      <c r="D9" s="323">
        <f>IF(AQ9+(AQ9*$AL$11)=0,"",AQ9+(AQ9*$AL$11))</f>
        <v/>
      </c>
      <c r="R9" s="86" t="n">
        <v>20.48</v>
      </c>
      <c r="S9" s="85" t="n">
        <v>41.46</v>
      </c>
      <c r="U9" s="65" t="n"/>
      <c r="V9" t="n">
        <v>2</v>
      </c>
      <c r="W9" s="338">
        <f>_xlfn.CONCAT("UV-set (incl. combi) (",Y9," man)")</f>
        <v/>
      </c>
      <c r="X9" s="339" t="n">
        <v>215</v>
      </c>
      <c r="Y9" s="344" t="n">
        <v>5</v>
      </c>
      <c r="Z9" s="341">
        <f>SUM((Y9*$Y$2)+X9)</f>
        <v/>
      </c>
      <c r="AA9" s="345" t="n">
        <v>55</v>
      </c>
      <c r="AB9" s="341" t="n">
        <v>63</v>
      </c>
      <c r="AC9" s="343">
        <f>AA9+AB9</f>
        <v/>
      </c>
      <c r="AD9" s="343" t="n">
        <v>10</v>
      </c>
      <c r="AE9" s="343">
        <f>SUM((IF(AD9&gt;8,(SUM(AB9+AA9)*8),(SUM(AB9+AA9)*AD9)))+(Z9*AD9))</f>
        <v/>
      </c>
      <c r="AJ9" s="69" t="n"/>
      <c r="AK9" s="69" t="n"/>
      <c r="AL9" s="69" t="n"/>
      <c r="AM9" s="69" t="n"/>
      <c r="AN9" s="69" t="n"/>
      <c r="AO9" s="91" t="n">
        <v>350</v>
      </c>
      <c r="AP9" s="92" t="n">
        <v>55.13</v>
      </c>
      <c r="AQ9" s="93" t="n">
        <v>66.48</v>
      </c>
      <c r="AR9" s="69" t="n"/>
      <c r="AS9" s="69" t="n"/>
      <c r="AT9" s="69" t="n"/>
      <c r="AU9" s="69" t="n"/>
      <c r="AV9" s="69" t="n"/>
      <c r="AW9" s="69" t="n"/>
    </row>
    <row r="10">
      <c r="B10" s="322" t="inlineStr">
        <is>
          <t>300/450</t>
        </is>
      </c>
      <c r="C10" s="323">
        <f>IF(AP10+(AP10*$AL$11)=0,"",AP10+(AP10*$AL$11))</f>
        <v/>
      </c>
      <c r="D10" s="323">
        <f>IF(AQ10+(AQ10*$AL$11)=0,"",AQ10+(AQ10*$AL$11))</f>
        <v/>
      </c>
      <c r="R10" s="86" t="n">
        <v>22.73</v>
      </c>
      <c r="S10" s="85" t="n">
        <v>43.61</v>
      </c>
      <c r="U10" s="65" t="n"/>
      <c r="V10" t="n">
        <v>2</v>
      </c>
      <c r="W10" s="338">
        <f>_xlfn.CONCAT("UV-set (excl. combi) (",Y10," man)")</f>
        <v/>
      </c>
      <c r="X10" s="339" t="n">
        <v>215</v>
      </c>
      <c r="Y10" s="344" t="n">
        <v>4</v>
      </c>
      <c r="Z10" s="341" t="n">
        <v>415</v>
      </c>
      <c r="AA10" s="345" t="n">
        <v>55</v>
      </c>
      <c r="AB10" s="341" t="n">
        <v>63</v>
      </c>
      <c r="AC10" s="343">
        <f>AA10+AB10</f>
        <v/>
      </c>
      <c r="AD10" s="343" t="n">
        <v>10</v>
      </c>
      <c r="AE10" s="343">
        <f>SUM((IF(AD10&gt;8,(SUM(AB10+AA10)*8),(SUM(AB10+AA10)*AD10)))+(Z10*AD10))</f>
        <v/>
      </c>
      <c r="AJ10" s="69" t="n"/>
      <c r="AK10" s="69" t="n"/>
      <c r="AL10" s="69" t="n"/>
      <c r="AM10" s="69" t="n"/>
      <c r="AN10" s="69" t="n"/>
      <c r="AO10" s="91" t="inlineStr">
        <is>
          <t>300/450</t>
        </is>
      </c>
      <c r="AP10" s="92" t="n">
        <v>58.74</v>
      </c>
      <c r="AQ10" s="93" t="n">
        <v>71.11</v>
      </c>
      <c r="AR10" s="69" t="n"/>
      <c r="AS10" s="69" t="n"/>
      <c r="AT10" s="69" t="n"/>
      <c r="AU10" s="69" t="n"/>
      <c r="AV10" s="69" t="n"/>
      <c r="AW10" s="69" t="n"/>
    </row>
    <row r="11" ht="13.5" customHeight="1" thickBot="1">
      <c r="B11" s="322" t="n">
        <v>400</v>
      </c>
      <c r="C11" s="323">
        <f>IF(AP11+(AP11*$AL$11)=0,"",AP11+(AP11*$AL$11))</f>
        <v/>
      </c>
      <c r="D11" s="323">
        <f>IF(AQ11+(AQ11*$AL$11)=0,"",AQ11+(AQ11*$AL$11))</f>
        <v/>
      </c>
      <c r="R11" s="111" t="n">
        <v>22.73</v>
      </c>
      <c r="S11" s="110" t="n">
        <v>43.61</v>
      </c>
      <c r="U11" s="65" t="n"/>
      <c r="V11" t="n">
        <v>5</v>
      </c>
      <c r="W11" s="338" t="inlineStr">
        <is>
          <t>Inspectie (eigen)</t>
        </is>
      </c>
      <c r="X11" s="346" t="n"/>
      <c r="Y11" s="344" t="n"/>
      <c r="Z11" s="341" t="n">
        <v>105</v>
      </c>
      <c r="AA11" s="345" t="n"/>
      <c r="AB11" s="345" t="n"/>
      <c r="AC11" s="347" t="n"/>
      <c r="AD11" s="348" t="n"/>
      <c r="AE11" s="349" t="n"/>
      <c r="AJ11" s="69" t="n"/>
      <c r="AK11" s="350" t="inlineStr">
        <is>
          <t>Index % (M/S+ liner)</t>
        </is>
      </c>
      <c r="AL11" s="351" t="n">
        <v>0.08</v>
      </c>
      <c r="AM11" s="69" t="n"/>
      <c r="AN11" s="69" t="n"/>
      <c r="AO11" s="114" t="n">
        <v>400</v>
      </c>
      <c r="AP11" s="115" t="n">
        <v>61.43</v>
      </c>
      <c r="AQ11" s="116" t="n">
        <v>74.61</v>
      </c>
      <c r="AR11" s="69" t="n"/>
      <c r="AS11" s="69" t="n"/>
      <c r="AT11" s="69" t="n"/>
      <c r="AU11" s="69" t="n"/>
      <c r="AV11" s="69" t="n"/>
      <c r="AW11" s="69" t="n"/>
    </row>
    <row r="12" ht="13.5" customHeight="1" thickTop="1">
      <c r="U12" s="65" t="n"/>
      <c r="V12" t="n">
        <v>5</v>
      </c>
      <c r="W12" s="338" t="inlineStr">
        <is>
          <t xml:space="preserve">Inspectie </t>
        </is>
      </c>
      <c r="X12" s="346" t="n"/>
      <c r="Y12" s="344" t="n"/>
      <c r="Z12" s="341" t="n">
        <v>145</v>
      </c>
      <c r="AA12" s="345" t="n"/>
      <c r="AB12" s="345" t="n"/>
      <c r="AC12" s="347" t="n"/>
      <c r="AD12" s="348" t="n"/>
      <c r="AE12" s="349" t="n"/>
      <c r="AJ12" s="69" t="n"/>
      <c r="AK12" s="69" t="n"/>
      <c r="AL12" s="69" t="n"/>
      <c r="AM12" s="69" t="n"/>
      <c r="AN12" s="69" t="n"/>
      <c r="AO12" s="69" t="n"/>
      <c r="AP12" s="69" t="n"/>
      <c r="AQ12" s="69" t="n"/>
      <c r="AR12" s="69" t="n"/>
      <c r="AS12" s="69" t="n"/>
      <c r="AT12" s="69" t="n"/>
      <c r="AU12" s="69" t="n"/>
      <c r="AV12" s="69" t="n"/>
      <c r="AW12" s="69" t="n"/>
    </row>
    <row r="13" ht="13.5" customHeight="1" thickBot="1">
      <c r="B13" s="117" t="n">
        <v>44725</v>
      </c>
      <c r="U13" s="65" t="n"/>
      <c r="V13" t="n">
        <v>3</v>
      </c>
      <c r="W13" s="338" t="inlineStr">
        <is>
          <t>Combi (eigen)</t>
        </is>
      </c>
      <c r="X13" s="339" t="n">
        <v>70</v>
      </c>
      <c r="Y13" s="344" t="n">
        <v>1</v>
      </c>
      <c r="Z13" s="341">
        <f>SUM((Y13*$Y$2)+X13)</f>
        <v/>
      </c>
      <c r="AA13" s="345" t="n"/>
      <c r="AB13" s="345" t="n"/>
      <c r="AC13" s="343">
        <f>AA13+AB13</f>
        <v/>
      </c>
      <c r="AD13" s="343" t="n">
        <v>10</v>
      </c>
      <c r="AE13" s="343">
        <f>SUM((IF(AD13&gt;8,(SUM(AB13+AA13)*8),(SUM(AB13+AA13)*AD13)))+(Z13*AD13))</f>
        <v/>
      </c>
      <c r="AJ13" s="118" t="n">
        <v>44682</v>
      </c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  <c r="AW13" s="69" t="n"/>
    </row>
    <row r="14" ht="13.5" customHeight="1" thickBot="1">
      <c r="B14" s="315" t="inlineStr">
        <is>
          <t>S+ Liner DN</t>
        </is>
      </c>
      <c r="C14" s="315" t="n">
        <v>3</v>
      </c>
      <c r="D14" s="315" t="n">
        <v>4</v>
      </c>
      <c r="E14" s="315" t="n">
        <v>5</v>
      </c>
      <c r="F14" s="315" t="n">
        <v>6</v>
      </c>
      <c r="G14" s="315" t="n">
        <v>7</v>
      </c>
      <c r="H14" s="315" t="n">
        <v>8</v>
      </c>
      <c r="I14" s="315" t="n">
        <v>9</v>
      </c>
      <c r="J14" s="315" t="n">
        <v>10</v>
      </c>
      <c r="K14" s="315" t="n">
        <v>11</v>
      </c>
      <c r="L14" s="315" t="n">
        <v>12</v>
      </c>
      <c r="M14" s="315" t="n">
        <v>13</v>
      </c>
      <c r="N14" s="315" t="n">
        <v>14</v>
      </c>
      <c r="O14" s="315" t="n">
        <v>15</v>
      </c>
      <c r="P14" s="120" t="n"/>
      <c r="Q14" s="315" t="inlineStr">
        <is>
          <t>diameter</t>
        </is>
      </c>
      <c r="R14" s="315" t="inlineStr">
        <is>
          <t>JK</t>
        </is>
      </c>
      <c r="S14" s="315" t="inlineStr">
        <is>
          <t>JK RV</t>
        </is>
      </c>
      <c r="U14" s="65" t="n"/>
      <c r="V14" t="n">
        <v>3</v>
      </c>
      <c r="W14" s="338" t="inlineStr">
        <is>
          <t>Reiniging Combi</t>
        </is>
      </c>
      <c r="X14" s="339" t="n">
        <v>90</v>
      </c>
      <c r="Y14" s="344" t="n">
        <v>1</v>
      </c>
      <c r="Z14" s="341">
        <f>SUM((Y14*$Y$2)+X14)</f>
        <v/>
      </c>
      <c r="AA14" s="345" t="n"/>
      <c r="AB14" s="345" t="n"/>
      <c r="AC14" s="343">
        <f>AA14+AB14</f>
        <v/>
      </c>
      <c r="AD14" s="343" t="n">
        <v>10</v>
      </c>
      <c r="AE14" s="343">
        <f>SUM((IF(AD14&gt;8,(SUM(AB14+AA14)*8),(SUM(AB14+AA14)*AD14)))+(Z14*AD14))</f>
        <v/>
      </c>
      <c r="AJ14" s="61" t="inlineStr">
        <is>
          <t>S+ Liner</t>
        </is>
      </c>
      <c r="AK14" s="70" t="n">
        <v>3</v>
      </c>
      <c r="AL14" s="122" t="n">
        <v>4</v>
      </c>
      <c r="AM14" s="122" t="n">
        <v>5</v>
      </c>
      <c r="AN14" s="122" t="n">
        <v>6</v>
      </c>
      <c r="AO14" s="122" t="n">
        <v>7</v>
      </c>
      <c r="AP14" s="122" t="n">
        <v>8</v>
      </c>
      <c r="AQ14" s="122" t="n">
        <v>9</v>
      </c>
      <c r="AR14" s="122" t="n">
        <v>10</v>
      </c>
      <c r="AS14" s="122" t="n">
        <v>11</v>
      </c>
      <c r="AT14" s="122" t="n">
        <v>12</v>
      </c>
      <c r="AU14" s="122" t="n">
        <v>13</v>
      </c>
      <c r="AV14" s="122" t="n">
        <v>14</v>
      </c>
      <c r="AW14" s="71" t="n">
        <v>15</v>
      </c>
    </row>
    <row r="15" ht="13.5" customHeight="1" thickBot="1">
      <c r="B15" s="322" t="n">
        <v>150</v>
      </c>
      <c r="C15" s="323">
        <f>IFERROR(IF(AK15+(AK15*$AL$11)=0,"",AK15+(AK15*$AL$11)),"")</f>
        <v/>
      </c>
      <c r="D15" s="323">
        <f>IFERROR(IF(AL15+(AL15*$AL$11)=0,"",AL15+(AL15*$AL$11)),"")</f>
        <v/>
      </c>
      <c r="E15" s="323">
        <f>IFERROR(IF(AM15+(AM15*$AL$11)=0,"",AM15+(AM15*$AL$11)),"")</f>
        <v/>
      </c>
      <c r="F15" s="323">
        <f>IFERROR(IF(AN15+(AN15*$AL$11)=0,"",AN15+(AN15*$AL$11)),"")</f>
        <v/>
      </c>
      <c r="G15" s="323">
        <f>IFERROR(IF(AO15+(AO15*$AL$11)=0,"",AO15+(AO15*$AL$11)),"")</f>
        <v/>
      </c>
      <c r="H15" s="323">
        <f>IFERROR(IF(AP15+(AP15*$AL$11)=0,"",AP15+(AP15*$AL$11)),"")</f>
        <v/>
      </c>
      <c r="I15" s="323">
        <f>IFERROR(IF(AQ15+(AQ15*$AL$11)=0,"",AQ15+(AQ15*$AL$11)),"")</f>
        <v/>
      </c>
      <c r="J15" s="323">
        <f>IFERROR(IF(AR15+(AR15*$AL$11)=0,"",AR15+(AR15*$AL$11)),"")</f>
        <v/>
      </c>
      <c r="K15" s="323">
        <f>IFERROR(IF(AS15+(AS15*$AL$11)=0,"",AS15+(AS15*$AL$11)),"")</f>
        <v/>
      </c>
      <c r="L15" s="323">
        <f>IFERROR(IF(AT15+(AT15*$AL$11)=0,"",AT15+(AT15*$AL$11)),"")</f>
        <v/>
      </c>
      <c r="M15" s="323">
        <f>IFERROR(IF(AU15+(AU15*$AL$11)=0,"",AU15+(AU15*$AL$11)),"")</f>
        <v/>
      </c>
      <c r="N15" s="323">
        <f>IFERROR(IF(AV15+(AV15*$AL$11)=0,"",AV15+(AV15*$AL$11)),"")</f>
        <v/>
      </c>
      <c r="O15" s="323">
        <f>IFERROR(IF(AW15+(AW15*$AL$11)=0,"",AW15+(AW15*$AL$11)),"")</f>
        <v/>
      </c>
      <c r="P15" s="124" t="n"/>
      <c r="Q15" s="352" t="n">
        <v>150</v>
      </c>
      <c r="R15" s="323" t="n">
        <v>13.11</v>
      </c>
      <c r="S15" s="323" t="n">
        <v>35.52</v>
      </c>
      <c r="U15" s="65" t="n"/>
      <c r="V15" t="n">
        <v>4</v>
      </c>
      <c r="W15" s="338">
        <f>_xlfn.CONCAT("Freesunit (",Y15," man)")</f>
        <v/>
      </c>
      <c r="X15" s="339" t="n">
        <v>78</v>
      </c>
      <c r="Y15" s="353" t="n">
        <v>2</v>
      </c>
      <c r="Z15" s="341" t="n">
        <v>168</v>
      </c>
      <c r="AA15" s="354" t="n"/>
      <c r="AB15" s="354" t="n"/>
      <c r="AC15" s="343">
        <f>AA15+AB15</f>
        <v/>
      </c>
      <c r="AD15" s="343" t="n">
        <v>10</v>
      </c>
      <c r="AE15" s="343">
        <f>SUM((IF(AD15&gt;8,(SUM(AB15+AA15)*8),(SUM(AB15+AA15)*AD15)))+(Z15*AD15))</f>
        <v/>
      </c>
      <c r="AJ15" s="80" t="n">
        <v>150</v>
      </c>
      <c r="AK15" s="132" t="n">
        <v>41.1712</v>
      </c>
      <c r="AL15" s="133" t="n">
        <v>50.5344</v>
      </c>
      <c r="AM15" s="133" t="inlineStr"/>
      <c r="AN15" s="133" t="inlineStr"/>
      <c r="AO15" s="133" t="inlineStr"/>
      <c r="AP15" s="133" t="inlineStr"/>
      <c r="AQ15" s="133" t="inlineStr"/>
      <c r="AR15" s="133" t="inlineStr"/>
      <c r="AS15" s="133" t="inlineStr"/>
      <c r="AT15" s="133" t="inlineStr"/>
      <c r="AU15" s="133" t="inlineStr"/>
      <c r="AV15" s="133" t="inlineStr"/>
      <c r="AW15" s="134" t="inlineStr"/>
    </row>
    <row r="16" ht="13.5" customHeight="1" thickTop="1">
      <c r="B16" s="322" t="n">
        <v>200</v>
      </c>
      <c r="C16" s="323">
        <f>IFERROR(IF(AK16+(AK16*$AL$11)=0,"",AK16+(AK16*$AL$11)),"")</f>
        <v/>
      </c>
      <c r="D16" s="323">
        <f>IFERROR(IF(AL16+(AL16*$AL$11)=0,"",AL16+(AL16*$AL$11)),"")</f>
        <v/>
      </c>
      <c r="E16" s="323">
        <f>IFERROR(IF(AM16+(AM16*$AL$11)=0,"",AM16+(AM16*$AL$11)),"")</f>
        <v/>
      </c>
      <c r="F16" s="323">
        <f>IFERROR(IF(AN16+(AN16*$AL$11)=0,"",AN16+(AN16*$AL$11)),"")</f>
        <v/>
      </c>
      <c r="G16" s="323">
        <f>IFERROR(IF(AO16+(AO16*$AL$11)=0,"",AO16+(AO16*$AL$11)),"")</f>
        <v/>
      </c>
      <c r="H16" s="323">
        <f>IFERROR(IF(AP16+(AP16*$AL$11)=0,"",AP16+(AP16*$AL$11)),"")</f>
        <v/>
      </c>
      <c r="I16" s="323">
        <f>IFERROR(IF(AQ16+(AQ16*$AL$11)=0,"",AQ16+(AQ16*$AL$11)),"")</f>
        <v/>
      </c>
      <c r="J16" s="323">
        <f>IFERROR(IF(AR16+(AR16*$AL$11)=0,"",AR16+(AR16*$AL$11)),"")</f>
        <v/>
      </c>
      <c r="K16" s="323">
        <f>IFERROR(IF(AS16+(AS16*$AL$11)=0,"",AS16+(AS16*$AL$11)),"")</f>
        <v/>
      </c>
      <c r="L16" s="323">
        <f>IFERROR(IF(AT16+(AT16*$AL$11)=0,"",AT16+(AT16*$AL$11)),"")</f>
        <v/>
      </c>
      <c r="M16" s="323">
        <f>IFERROR(IF(AU16+(AU16*$AL$11)=0,"",AU16+(AU16*$AL$11)),"")</f>
        <v/>
      </c>
      <c r="N16" s="323">
        <f>IFERROR(IF(AV16+(AV16*$AL$11)=0,"",AV16+(AV16*$AL$11)),"")</f>
        <v/>
      </c>
      <c r="O16" s="323">
        <f>IFERROR(IF(AW16+(AW16*$AL$11)=0,"",AW16+(AW16*$AL$11)),"")</f>
        <v/>
      </c>
      <c r="P16" s="124" t="n"/>
      <c r="Q16" s="352" t="n">
        <v>200</v>
      </c>
      <c r="R16" s="323" t="n">
        <v>14</v>
      </c>
      <c r="S16" s="323" t="n">
        <v>36.36</v>
      </c>
      <c r="U16" s="65" t="n"/>
      <c r="V16" t="n">
        <v>1</v>
      </c>
      <c r="W16" s="338">
        <f>_xlfn.CONCAT("1 Kleine waterset (",Y16," man)")</f>
        <v/>
      </c>
      <c r="X16" s="339" t="n">
        <v>175.2</v>
      </c>
      <c r="Y16" s="340" t="n">
        <v>4</v>
      </c>
      <c r="Z16" s="341">
        <f>SUM((Y16*$Y$1)+X16)</f>
        <v/>
      </c>
      <c r="AA16" s="342" t="n"/>
      <c r="AB16" s="342" t="n"/>
      <c r="AC16" s="343">
        <f>AA16+AB16</f>
        <v/>
      </c>
      <c r="AD16" s="343" t="n">
        <v>10</v>
      </c>
      <c r="AE16" s="343">
        <f>SUM((IF(AD16&gt;8,(SUM(AB16+AA16)*8),(SUM(AB16+AA16)*AD16)))+(Z16*AD16))</f>
        <v/>
      </c>
      <c r="AJ16" s="91" t="n">
        <v>200</v>
      </c>
      <c r="AK16" s="137" t="n">
        <v>49.78400000000001</v>
      </c>
      <c r="AL16" s="138" t="n">
        <v>63.0336</v>
      </c>
      <c r="AM16" s="138" t="n">
        <v>74.43519999999999</v>
      </c>
      <c r="AN16" s="138" t="n">
        <v>81.8832</v>
      </c>
      <c r="AO16" s="138" t="inlineStr"/>
      <c r="AP16" s="138" t="inlineStr"/>
      <c r="AQ16" s="138" t="inlineStr"/>
      <c r="AR16" s="138" t="inlineStr"/>
      <c r="AS16" s="138" t="inlineStr"/>
      <c r="AT16" s="138" t="inlineStr"/>
      <c r="AU16" s="138" t="inlineStr"/>
      <c r="AV16" s="138" t="inlineStr"/>
      <c r="AW16" s="139" t="inlineStr"/>
    </row>
    <row r="17">
      <c r="B17" s="322" t="n">
        <v>225</v>
      </c>
      <c r="C17" s="323">
        <f>IFERROR(IF(AK17+(AK17*$AL$11)=0,"",AK17+(AK17*$AL$11)),"")</f>
        <v/>
      </c>
      <c r="D17" s="323">
        <f>IFERROR(IF(AL17+(AL17*$AL$11)=0,"",AL17+(AL17*$AL$11)),"")</f>
        <v/>
      </c>
      <c r="E17" s="323">
        <f>IFERROR(IF(AM17+(AM17*$AL$11)=0,"",AM17+(AM17*$AL$11)),"")</f>
        <v/>
      </c>
      <c r="F17" s="323">
        <f>IFERROR(IF(AN17+(AN17*$AL$11)=0,"",AN17+(AN17*$AL$11)),"")</f>
        <v/>
      </c>
      <c r="G17" s="323">
        <f>IFERROR(IF(AO17+(AO17*$AL$11)=0,"",AO17+(AO17*$AL$11)),"")</f>
        <v/>
      </c>
      <c r="H17" s="323">
        <f>IFERROR(IF(AP17+(AP17*$AL$11)=0,"",AP17+(AP17*$AL$11)),"")</f>
        <v/>
      </c>
      <c r="I17" s="323">
        <f>IFERROR(IF(AQ17+(AQ17*$AL$11)=0,"",AQ17+(AQ17*$AL$11)),"")</f>
        <v/>
      </c>
      <c r="J17" s="323">
        <f>IFERROR(IF(AR17+(AR17*$AL$11)=0,"",AR17+(AR17*$AL$11)),"")</f>
        <v/>
      </c>
      <c r="K17" s="323">
        <f>IFERROR(IF(AS17+(AS17*$AL$11)=0,"",AS17+(AS17*$AL$11)),"")</f>
        <v/>
      </c>
      <c r="L17" s="323">
        <f>IFERROR(IF(AT17+(AT17*$AL$11)=0,"",AT17+(AT17*$AL$11)),"")</f>
        <v/>
      </c>
      <c r="M17" s="323">
        <f>IFERROR(IF(AU17+(AU17*$AL$11)=0,"",AU17+(AU17*$AL$11)),"")</f>
        <v/>
      </c>
      <c r="N17" s="323">
        <f>IFERROR(IF(AV17+(AV17*$AL$11)=0,"",AV17+(AV17*$AL$11)),"")</f>
        <v/>
      </c>
      <c r="O17" s="323">
        <f>IFERROR(IF(AW17+(AW17*$AL$11)=0,"",AW17+(AW17*$AL$11)),"")</f>
        <v/>
      </c>
      <c r="P17" s="124" t="n"/>
      <c r="Q17" s="352" t="n">
        <v>225</v>
      </c>
      <c r="R17" s="323" t="n">
        <v>15.66</v>
      </c>
      <c r="S17" s="323" t="n">
        <v>37.04</v>
      </c>
      <c r="U17" s="65" t="n"/>
      <c r="V17" t="n">
        <v>1</v>
      </c>
      <c r="W17" s="338">
        <f>_xlfn.CONCAT("1 Kleine waterset (",Y17," man)")</f>
        <v/>
      </c>
      <c r="X17" s="339" t="n">
        <v>175.2</v>
      </c>
      <c r="Y17" s="340" t="n">
        <v>5</v>
      </c>
      <c r="Z17" s="341">
        <f>SUM((Y17*$Y$1)+X17)</f>
        <v/>
      </c>
      <c r="AA17" s="342" t="n"/>
      <c r="AB17" s="342" t="n"/>
      <c r="AC17" s="343">
        <f>AA17+AB17</f>
        <v/>
      </c>
      <c r="AD17" s="343" t="n">
        <v>10</v>
      </c>
      <c r="AE17" s="343">
        <f>SUM((IF(AD17&gt;8,(SUM(AB17+AA17)*8),(SUM(AB17+AA17)*AD17)))+(Z17*AD17))</f>
        <v/>
      </c>
      <c r="AJ17" s="91" t="n">
        <v>225</v>
      </c>
      <c r="AK17" s="137" t="n">
        <v>53.8384</v>
      </c>
      <c r="AL17" s="138" t="n">
        <v>69.28319999999999</v>
      </c>
      <c r="AM17" s="138" t="n">
        <v>81.5248</v>
      </c>
      <c r="AN17" s="138" t="n">
        <v>89.9584</v>
      </c>
      <c r="AO17" s="138" t="inlineStr"/>
      <c r="AP17" s="138" t="inlineStr"/>
      <c r="AQ17" s="138" t="inlineStr"/>
      <c r="AR17" s="138" t="inlineStr"/>
      <c r="AS17" s="138" t="inlineStr"/>
      <c r="AT17" s="138" t="inlineStr"/>
      <c r="AU17" s="138" t="inlineStr"/>
      <c r="AV17" s="138" t="inlineStr"/>
      <c r="AW17" s="139" t="inlineStr"/>
    </row>
    <row r="18">
      <c r="B18" s="322" t="n">
        <v>230</v>
      </c>
      <c r="C18" s="323">
        <f>IFERROR(IF(AK18+(AK18*$AL$11)=0,"",AK18+(AK18*$AL$11)),"")</f>
        <v/>
      </c>
      <c r="D18" s="323">
        <f>IFERROR(IF(AL18+(AL18*$AL$11)=0,"",AL18+(AL18*$AL$11)),"")</f>
        <v/>
      </c>
      <c r="E18" s="323">
        <f>IFERROR(IF(AM18+(AM18*$AL$11)=0,"",AM18+(AM18*$AL$11)),"")</f>
        <v/>
      </c>
      <c r="F18" s="323">
        <f>IFERROR(IF(AN18+(AN18*$AL$11)=0,"",AN18+(AN18*$AL$11)),"")</f>
        <v/>
      </c>
      <c r="G18" s="323">
        <f>IFERROR(IF(AO18+(AO18*$AL$11)=0,"",AO18+(AO18*$AL$11)),"")</f>
        <v/>
      </c>
      <c r="H18" s="323">
        <f>IFERROR(IF(AP18+(AP18*$AL$11)=0,"",AP18+(AP18*$AL$11)),"")</f>
        <v/>
      </c>
      <c r="I18" s="323">
        <f>IFERROR(IF(AQ18+(AQ18*$AL$11)=0,"",AQ18+(AQ18*$AL$11)),"")</f>
        <v/>
      </c>
      <c r="J18" s="323">
        <f>IFERROR(IF(AR18+(AR18*$AL$11)=0,"",AR18+(AR18*$AL$11)),"")</f>
        <v/>
      </c>
      <c r="K18" s="323">
        <f>IFERROR(IF(AS18+(AS18*$AL$11)=0,"",AS18+(AS18*$AL$11)),"")</f>
        <v/>
      </c>
      <c r="L18" s="323">
        <f>IFERROR(IF(AT18+(AT18*$AL$11)=0,"",AT18+(AT18*$AL$11)),"")</f>
        <v/>
      </c>
      <c r="M18" s="323">
        <f>IFERROR(IF(AU18+(AU18*$AL$11)=0,"",AU18+(AU18*$AL$11)),"")</f>
        <v/>
      </c>
      <c r="N18" s="323">
        <f>IFERROR(IF(AV18+(AV18*$AL$11)=0,"",AV18+(AV18*$AL$11)),"")</f>
        <v/>
      </c>
      <c r="O18" s="323">
        <f>IFERROR(IF(AW18+(AW18*$AL$11)=0,"",AW18+(AW18*$AL$11)),"")</f>
        <v/>
      </c>
      <c r="P18" s="124" t="n"/>
      <c r="Q18" s="352" t="n">
        <v>230</v>
      </c>
      <c r="R18" s="323" t="n">
        <v>15.66</v>
      </c>
      <c r="S18" s="323" t="n">
        <v>37.04</v>
      </c>
      <c r="U18" s="65" t="n"/>
      <c r="V18" t="n">
        <v>1</v>
      </c>
      <c r="W18" s="338">
        <f>_xlfn.CONCAT("1 Grote waterset (",Y18," man)")</f>
        <v/>
      </c>
      <c r="X18" s="339" t="n">
        <v>211.65</v>
      </c>
      <c r="Y18" s="344" t="n">
        <v>4</v>
      </c>
      <c r="Z18" s="341">
        <f>SUM((Y18*$Y$1)+X18)</f>
        <v/>
      </c>
      <c r="AA18" s="345" t="n"/>
      <c r="AB18" s="345" t="n"/>
      <c r="AC18" s="343">
        <f>AA18+AB18</f>
        <v/>
      </c>
      <c r="AD18" s="343" t="n">
        <v>10</v>
      </c>
      <c r="AE18" s="343">
        <f>SUM((IF(AD18&gt;8,(SUM(AB18+AA18)*8),(SUM(AB18+AA18)*AD18)))+(Z18*AD18))</f>
        <v/>
      </c>
      <c r="AJ18" s="91" t="n">
        <v>230</v>
      </c>
      <c r="AK18" s="137" t="inlineStr"/>
      <c r="AL18" s="138" t="inlineStr"/>
      <c r="AM18" s="138" t="inlineStr"/>
      <c r="AN18" s="138" t="inlineStr"/>
      <c r="AO18" s="138" t="inlineStr"/>
      <c r="AP18" s="138" t="inlineStr"/>
      <c r="AQ18" s="138" t="inlineStr"/>
      <c r="AR18" s="138" t="inlineStr"/>
      <c r="AS18" s="138" t="inlineStr"/>
      <c r="AT18" s="138" t="inlineStr"/>
      <c r="AU18" s="138" t="inlineStr"/>
      <c r="AV18" s="138" t="inlineStr"/>
      <c r="AW18" s="139" t="inlineStr"/>
    </row>
    <row r="19">
      <c r="B19" s="322" t="n">
        <v>250</v>
      </c>
      <c r="C19" s="323">
        <f>IFERROR(IF(AK19+(AK19*$AL$11)=0,"",AK19+(AK19*$AL$11)),"")</f>
        <v/>
      </c>
      <c r="D19" s="323">
        <f>IFERROR(IF(AL19+(AL19*$AL$11)=0,"",AL19+(AL19*$AL$11)),"")</f>
        <v/>
      </c>
      <c r="E19" s="323">
        <f>IFERROR(IF(AM19+(AM19*$AL$11)=0,"",AM19+(AM19*$AL$11)),"")</f>
        <v/>
      </c>
      <c r="F19" s="323">
        <f>IFERROR(IF(AN19+(AN19*$AL$11)=0,"",AN19+(AN19*$AL$11)),"")</f>
        <v/>
      </c>
      <c r="G19" s="323">
        <f>IFERROR(IF(AO19+(AO19*$AL$11)=0,"",AO19+(AO19*$AL$11)),"")</f>
        <v/>
      </c>
      <c r="H19" s="323">
        <f>IFERROR(IF(AP19+(AP19*$AL$11)=0,"",AP19+(AP19*$AL$11)),"")</f>
        <v/>
      </c>
      <c r="I19" s="323">
        <f>IFERROR(IF(AQ19+(AQ19*$AL$11)=0,"",AQ19+(AQ19*$AL$11)),"")</f>
        <v/>
      </c>
      <c r="J19" s="323">
        <f>IFERROR(IF(AR19+(AR19*$AL$11)=0,"",AR19+(AR19*$AL$11)),"")</f>
        <v/>
      </c>
      <c r="K19" s="323">
        <f>IFERROR(IF(AS19+(AS19*$AL$11)=0,"",AS19+(AS19*$AL$11)),"")</f>
        <v/>
      </c>
      <c r="L19" s="323">
        <f>IFERROR(IF(AT19+(AT19*$AL$11)=0,"",AT19+(AT19*$AL$11)),"")</f>
        <v/>
      </c>
      <c r="M19" s="323">
        <f>IFERROR(IF(AU19+(AU19*$AL$11)=0,"",AU19+(AU19*$AL$11)),"")</f>
        <v/>
      </c>
      <c r="N19" s="323">
        <f>IFERROR(IF(AV19+(AV19*$AL$11)=0,"",AV19+(AV19*$AL$11)),"")</f>
        <v/>
      </c>
      <c r="O19" s="323">
        <f>IFERROR(IF(AW19+(AW19*$AL$11)=0,"",AW19+(AW19*$AL$11)),"")</f>
        <v/>
      </c>
      <c r="P19" s="124" t="n"/>
      <c r="Q19" s="352" t="n">
        <v>250</v>
      </c>
      <c r="R19" s="323" t="n">
        <v>16.76</v>
      </c>
      <c r="S19" s="323" t="n">
        <v>39.48</v>
      </c>
      <c r="U19" s="65" t="n"/>
      <c r="V19" t="n">
        <v>1</v>
      </c>
      <c r="W19" s="338">
        <f>_xlfn.CONCAT("1 Grote waterset (",Y19," man)")</f>
        <v/>
      </c>
      <c r="X19" s="339" t="n">
        <v>211.65</v>
      </c>
      <c r="Y19" s="344" t="n">
        <v>5</v>
      </c>
      <c r="Z19" s="341">
        <f>SUM((Y19*$Y$1)+X19)</f>
        <v/>
      </c>
      <c r="AA19" s="345" t="n"/>
      <c r="AB19" s="345" t="n"/>
      <c r="AC19" s="343">
        <f>AA19+AB19</f>
        <v/>
      </c>
      <c r="AD19" s="343" t="n">
        <v>10</v>
      </c>
      <c r="AE19" s="343">
        <f>SUM((IF(AD19&gt;8,(SUM(AB19+AA19)*8),(SUM(AB19+AA19)*AD19)))+(Z19*AD19))</f>
        <v/>
      </c>
      <c r="AJ19" s="91" t="n">
        <v>250</v>
      </c>
      <c r="AK19" s="137" t="n">
        <v>58.2512</v>
      </c>
      <c r="AL19" s="138" t="n">
        <v>75.53279999999999</v>
      </c>
      <c r="AM19" s="138" t="n">
        <v>88.6144</v>
      </c>
      <c r="AN19" s="138" t="n">
        <v>98.04480000000001</v>
      </c>
      <c r="AO19" s="138" t="inlineStr"/>
      <c r="AP19" s="138" t="inlineStr"/>
      <c r="AQ19" s="138" t="inlineStr"/>
      <c r="AR19" s="138" t="inlineStr"/>
      <c r="AS19" s="138" t="inlineStr"/>
      <c r="AT19" s="138" t="inlineStr"/>
      <c r="AU19" s="138" t="inlineStr"/>
      <c r="AV19" s="138" t="inlineStr"/>
      <c r="AW19" s="139" t="inlineStr"/>
    </row>
    <row r="20">
      <c r="B20" s="322" t="inlineStr">
        <is>
          <t>200/300</t>
        </is>
      </c>
      <c r="C20" s="323">
        <f>IFERROR(IF(AK20+(AK20*$AL$11)=0,"",AK20+(AK20*$AL$11)),"")</f>
        <v/>
      </c>
      <c r="D20" s="323">
        <f>IFERROR(IF(AL20+(AL20*$AL$11)=0,"",AL20+(AL20*$AL$11)),"")</f>
        <v/>
      </c>
      <c r="E20" s="323">
        <f>IFERROR(IF(AM20+(AM20*$AL$11)=0,"",AM20+(AM20*$AL$11)),"")</f>
        <v/>
      </c>
      <c r="F20" s="323">
        <f>IFERROR(IF(AN20+(AN20*$AL$11)=0,"",AN20+(AN20*$AL$11)),"")</f>
        <v/>
      </c>
      <c r="G20" s="323" t="n"/>
      <c r="H20" s="323" t="n"/>
      <c r="I20" s="323" t="n"/>
      <c r="J20" s="323" t="n"/>
      <c r="K20" s="323" t="n"/>
      <c r="L20" s="323" t="n"/>
      <c r="M20" s="323" t="n"/>
      <c r="N20" s="323" t="n"/>
      <c r="O20" s="323" t="n"/>
      <c r="P20" s="124" t="n"/>
      <c r="Q20" s="352" t="n"/>
      <c r="R20" s="323" t="n"/>
      <c r="S20" s="323" t="n"/>
      <c r="U20" s="65" t="n"/>
      <c r="V20" t="n">
        <v>1</v>
      </c>
      <c r="W20" s="338">
        <f>_xlfn.CONCAT("1 Kleine stoomset (",Y20," man)")</f>
        <v/>
      </c>
      <c r="X20" s="339" t="n">
        <v>134.55</v>
      </c>
      <c r="Y20" s="344" t="n">
        <v>4</v>
      </c>
      <c r="Z20" s="341">
        <f>SUM((Y20*$Y$2)+X20)</f>
        <v/>
      </c>
      <c r="AA20" s="345" t="n"/>
      <c r="AB20" s="345" t="n"/>
      <c r="AC20" s="343">
        <f>AA20+AB20</f>
        <v/>
      </c>
      <c r="AD20" s="343" t="n">
        <v>10</v>
      </c>
      <c r="AE20" s="343">
        <f>SUM((IF(AD20&gt;8,(SUM(AB20+AA20)*8),(SUM(AB20+AA20)*AD20)))+(Z20*AD20))</f>
        <v/>
      </c>
      <c r="AJ20" s="91" t="inlineStr">
        <is>
          <t>200/300</t>
        </is>
      </c>
      <c r="AK20" s="137" t="n">
        <v>69.14880000000001</v>
      </c>
      <c r="AL20" s="138" t="n">
        <v>80.11360000000001</v>
      </c>
      <c r="AM20" s="138" t="n">
        <v>88.6144</v>
      </c>
      <c r="AN20" s="138" t="n">
        <v>98.04480000000001</v>
      </c>
      <c r="AO20" s="138" t="n"/>
      <c r="AP20" s="138" t="n"/>
      <c r="AQ20" s="138" t="n"/>
      <c r="AR20" s="138" t="n"/>
      <c r="AS20" s="138" t="n"/>
      <c r="AT20" s="138" t="n"/>
      <c r="AU20" s="138" t="n"/>
      <c r="AV20" s="138" t="n"/>
      <c r="AW20" s="139" t="n"/>
    </row>
    <row r="21">
      <c r="B21" s="322" t="n">
        <v>252</v>
      </c>
      <c r="C21" s="323">
        <f>IFERROR(IF(AK21+(AK21*$AL$11)=0,"",AK21+(AK21*$AL$11)),"")</f>
        <v/>
      </c>
      <c r="D21" s="323">
        <f>IFERROR(IF(AL21+(AL21*$AL$11)=0,"",AL21+(AL21*$AL$11)),"")</f>
        <v/>
      </c>
      <c r="E21" s="323">
        <f>IFERROR(IF(AM21+(AM21*$AL$11)=0,"",AM21+(AM21*$AL$11)),"")</f>
        <v/>
      </c>
      <c r="F21" s="323">
        <f>IFERROR(IF(AN21+(AN21*$AL$11)=0,"",AN21+(AN21*$AL$11)),"")</f>
        <v/>
      </c>
      <c r="G21" s="323" t="n"/>
      <c r="H21" s="323" t="n"/>
      <c r="I21" s="323" t="n"/>
      <c r="J21" s="323" t="n"/>
      <c r="K21" s="323" t="n"/>
      <c r="L21" s="323" t="n"/>
      <c r="M21" s="323" t="n"/>
      <c r="N21" s="323" t="n"/>
      <c r="O21" s="323" t="n"/>
      <c r="P21" s="124" t="n"/>
      <c r="Q21" s="352" t="n"/>
      <c r="R21" s="323" t="n"/>
      <c r="S21" s="323" t="n"/>
      <c r="U21" s="65" t="n"/>
      <c r="V21" t="n">
        <v>1</v>
      </c>
      <c r="W21" s="338">
        <f>_xlfn.CONCAT("1 Kleine stoomset (",Y21," man)")</f>
        <v/>
      </c>
      <c r="X21" s="339" t="n">
        <v>134.55</v>
      </c>
      <c r="Y21" s="344" t="n">
        <v>5</v>
      </c>
      <c r="Z21" s="341">
        <f>SUM((Y21*$Y$2)+X21)</f>
        <v/>
      </c>
      <c r="AA21" s="345" t="n"/>
      <c r="AB21" s="345" t="n"/>
      <c r="AC21" s="343">
        <f>AA21+AB21</f>
        <v/>
      </c>
      <c r="AD21" s="343" t="n">
        <v>10</v>
      </c>
      <c r="AE21" s="343">
        <f>SUM((IF(AD21&gt;8,(SUM(AB21+AA21)*8),(SUM(AB21+AA21)*AD21)))+(Z21*AD21))</f>
        <v/>
      </c>
      <c r="AJ21" s="91" t="n">
        <v>252</v>
      </c>
      <c r="AK21" s="137" t="n">
        <v>69.14880000000001</v>
      </c>
      <c r="AL21" s="138" t="n">
        <v>80.11360000000001</v>
      </c>
      <c r="AM21" s="138" t="n">
        <v>88.6144</v>
      </c>
      <c r="AN21" s="138" t="n">
        <v>98.04480000000001</v>
      </c>
      <c r="AO21" s="138" t="n"/>
      <c r="AP21" s="138" t="n"/>
      <c r="AQ21" s="138" t="n"/>
      <c r="AR21" s="138" t="n"/>
      <c r="AS21" s="138" t="n"/>
      <c r="AT21" s="138" t="n"/>
      <c r="AU21" s="138" t="n"/>
      <c r="AV21" s="138" t="n"/>
      <c r="AW21" s="139" t="n"/>
    </row>
    <row r="22">
      <c r="B22" s="322" t="n">
        <v>300</v>
      </c>
      <c r="C22" s="323">
        <f>IFERROR(IF(AK22+(AK22*$AL$11)=0,"",AK22+(AK22*$AL$11)),"")</f>
        <v/>
      </c>
      <c r="D22" s="323">
        <f>IFERROR(IF(AL22+(AL22*$AL$11)=0,"",AL22+(AL22*$AL$11)),"")</f>
        <v/>
      </c>
      <c r="E22" s="323">
        <f>IFERROR(IF(AM22+(AM22*$AL$11)=0,"",AM22+(AM22*$AL$11)),"")</f>
        <v/>
      </c>
      <c r="F22" s="323">
        <f>IFERROR(IF(AN22+(AN22*$AL$11)=0,"",AN22+(AN22*$AL$11)),"")</f>
        <v/>
      </c>
      <c r="G22" s="323">
        <f>IFERROR(IF(AO22+(AO22*$AL$11)=0,"",AO22+(AO22*$AL$11)),"")</f>
        <v/>
      </c>
      <c r="H22" s="323">
        <f>IFERROR(IF(AP22+(AP22*$AL$11)=0,"",AP22+(AP22*$AL$11)),"")</f>
        <v/>
      </c>
      <c r="I22" s="323">
        <f>IFERROR(IF(AQ22+(AQ22*$AL$11)=0,"",AQ22+(AQ22*$AL$11)),"")</f>
        <v/>
      </c>
      <c r="J22" s="323">
        <f>IFERROR(IF(AR22+(AR22*$AL$11)=0,"",AR22+(AR22*$AL$11)),"")</f>
        <v/>
      </c>
      <c r="K22" s="323">
        <f>IFERROR(IF(AS22+(AS22*$AL$11)=0,"",AS22+(AS22*$AL$11)),"")</f>
        <v/>
      </c>
      <c r="L22" s="323">
        <f>IFERROR(IF(AT22+(AT22*$AL$11)=0,"",AT22+(AT22*$AL$11)),"")</f>
        <v/>
      </c>
      <c r="M22" s="323">
        <f>IFERROR(IF(AU22+(AU22*$AL$11)=0,"",AU22+(AU22*$AL$11)),"")</f>
        <v/>
      </c>
      <c r="N22" s="323">
        <f>IFERROR(IF(AV22+(AV22*$AL$11)=0,"",AV22+(AV22*$AL$11)),"")</f>
        <v/>
      </c>
      <c r="O22" s="323">
        <f>IFERROR(IF(AW22+(AW22*$AL$11)=0,"",AW22+(AW22*$AL$11)),"")</f>
        <v/>
      </c>
      <c r="P22" s="124" t="n"/>
      <c r="Q22" s="352" t="n">
        <v>300</v>
      </c>
      <c r="R22" s="323" t="n">
        <v>18.2</v>
      </c>
      <c r="S22" s="323" t="n">
        <v>40.5</v>
      </c>
      <c r="U22" s="65" t="n"/>
      <c r="V22" t="n">
        <v>1</v>
      </c>
      <c r="W22" s="338">
        <f>_xlfn.CONCAT("1 Grote stoomset (",Y22," man)")</f>
        <v/>
      </c>
      <c r="X22" s="339" t="n">
        <v>227.5</v>
      </c>
      <c r="Y22" s="344" t="n">
        <v>5</v>
      </c>
      <c r="Z22" s="341">
        <f>SUM((Y22*$Y$1)+X22)</f>
        <v/>
      </c>
      <c r="AA22" s="345" t="n"/>
      <c r="AB22" s="345" t="n"/>
      <c r="AC22" s="343">
        <f>AA22+AB22</f>
        <v/>
      </c>
      <c r="AD22" s="343" t="n">
        <v>10</v>
      </c>
      <c r="AE22" s="343">
        <f>SUM((IF(AD22&gt;8,(SUM(AB22+AA22)*8),(SUM(AB22+AA22)*AD22)))+(Z22*AD22))</f>
        <v/>
      </c>
      <c r="AJ22" s="91" t="n">
        <v>300</v>
      </c>
      <c r="AK22" s="137" t="n">
        <v>67.02080000000001</v>
      </c>
      <c r="AL22" s="138" t="n">
        <v>88.02080000000001</v>
      </c>
      <c r="AM22" s="138" t="n">
        <v>102.7936</v>
      </c>
      <c r="AN22" s="138" t="n">
        <v>114.2064</v>
      </c>
      <c r="AO22" s="138" t="inlineStr"/>
      <c r="AP22" s="138" t="inlineStr"/>
      <c r="AQ22" s="138" t="inlineStr"/>
      <c r="AR22" s="138" t="inlineStr"/>
      <c r="AS22" s="138" t="inlineStr"/>
      <c r="AT22" s="138" t="inlineStr"/>
      <c r="AU22" s="138" t="inlineStr"/>
      <c r="AV22" s="138" t="inlineStr"/>
      <c r="AW22" s="139" t="inlineStr"/>
    </row>
    <row r="23">
      <c r="B23" s="322" t="inlineStr">
        <is>
          <t>250/375</t>
        </is>
      </c>
      <c r="C23" s="323">
        <f>IFERROR(IF(AK23+(AK23*$AL$11)=0,"",AK23+(AK23*$AL$11)),"")</f>
        <v/>
      </c>
      <c r="D23" s="323">
        <f>IFERROR(IF(AL23+(AL23*$AL$11)=0,"",AL23+(AL23*$AL$11)),"")</f>
        <v/>
      </c>
      <c r="E23" s="323">
        <f>IFERROR(IF(AM23+(AM23*$AL$11)=0,"",AM23+(AM23*$AL$11)),"")</f>
        <v/>
      </c>
      <c r="F23" s="323">
        <f>IFERROR(IF(AN23+(AN23*$AL$11)=0,"",AN23+(AN23*$AL$11)),"")</f>
        <v/>
      </c>
      <c r="G23" s="323">
        <f>IFERROR(IF(AO23+(AO23*$AL$11)=0,"",AO23+(AO23*$AL$11)),"")</f>
        <v/>
      </c>
      <c r="H23" s="323">
        <f>IFERROR(IF(AP23+(AP23*$AL$11)=0,"",AP23+(AP23*$AL$11)),"")</f>
        <v/>
      </c>
      <c r="I23" s="323">
        <f>IFERROR(IF(AQ23+(AQ23*$AL$11)=0,"",AQ23+(AQ23*$AL$11)),"")</f>
        <v/>
      </c>
      <c r="J23" s="323">
        <f>IFERROR(IF(AR23+(AR23*$AL$11)=0,"",AR23+(AR23*$AL$11)),"")</f>
        <v/>
      </c>
      <c r="K23" s="323">
        <f>IFERROR(IF(AS23+(AS23*$AL$11)=0,"",AS23+(AS23*$AL$11)),"")</f>
        <v/>
      </c>
      <c r="L23" s="323">
        <f>IFERROR(IF(AT23+(AT23*$AL$11)=0,"",AT23+(AT23*$AL$11)),"")</f>
        <v/>
      </c>
      <c r="M23" s="323">
        <f>IFERROR(IF(AU23+(AU23*$AL$11)=0,"",AU23+(AU23*$AL$11)),"")</f>
        <v/>
      </c>
      <c r="N23" s="323">
        <f>IFERROR(IF(AV23+(AV23*$AL$11)=0,"",AV23+(AV23*$AL$11)),"")</f>
        <v/>
      </c>
      <c r="O23" s="323">
        <f>IFERROR(IF(AW23+(AW23*$AL$11)=0,"",AW23+(AW23*$AL$11)),"")</f>
        <v/>
      </c>
      <c r="P23" s="124" t="n"/>
      <c r="Q23" s="352" t="inlineStr">
        <is>
          <t>250/375</t>
        </is>
      </c>
      <c r="R23" s="323" t="n"/>
      <c r="S23" s="323" t="n">
        <v>41.46</v>
      </c>
      <c r="U23" s="65" t="n"/>
      <c r="V23" t="n">
        <v>4</v>
      </c>
      <c r="W23" s="338">
        <f>_xlfn.CONCAT("1 Freesunit (",Y23," man)")</f>
        <v/>
      </c>
      <c r="X23" s="339" t="n">
        <v>85</v>
      </c>
      <c r="Y23" s="355" t="n">
        <v>2</v>
      </c>
      <c r="Z23" s="341">
        <f>SUM((Y23*$Y$1)+X23)</f>
        <v/>
      </c>
      <c r="AA23" s="356" t="n"/>
      <c r="AB23" s="356" t="n"/>
      <c r="AC23" s="343">
        <f>AA23+AB23</f>
        <v/>
      </c>
      <c r="AD23" s="343" t="n">
        <v>10</v>
      </c>
      <c r="AE23" s="343">
        <f>SUM((IF(AD23&gt;8,(SUM(AB23+AA23)*8),(SUM(AB23+AA23)*AD23)))+(Z23*AD23))</f>
        <v/>
      </c>
      <c r="AJ23" s="91" t="inlineStr">
        <is>
          <t>250/375</t>
        </is>
      </c>
      <c r="AK23" s="137" t="n">
        <v>83.664</v>
      </c>
      <c r="AL23" s="138" t="n">
        <v>97.0928</v>
      </c>
      <c r="AM23" s="138" t="n">
        <v>106.904</v>
      </c>
      <c r="AN23" s="138" t="n">
        <v>118.7648</v>
      </c>
      <c r="AO23" s="138" t="inlineStr"/>
      <c r="AP23" s="138" t="inlineStr"/>
      <c r="AQ23" s="138" t="inlineStr"/>
      <c r="AR23" s="138" t="inlineStr"/>
      <c r="AS23" s="138" t="inlineStr"/>
      <c r="AT23" s="138" t="inlineStr"/>
      <c r="AU23" s="138" t="inlineStr"/>
      <c r="AV23" s="138" t="inlineStr"/>
      <c r="AW23" s="139" t="inlineStr"/>
    </row>
    <row r="24">
      <c r="B24" s="322" t="n">
        <v>315</v>
      </c>
      <c r="C24" s="323">
        <f>IFERROR(IF(AK24+(AK24*$AL$11)=0,"",AK24+(AK24*$AL$11)),"")</f>
        <v/>
      </c>
      <c r="D24" s="323">
        <f>IFERROR(IF(AL24+(AL24*$AL$11)=0,"",AL24+(AL24*$AL$11)),"")</f>
        <v/>
      </c>
      <c r="E24" s="323">
        <f>IFERROR(IF(AM24+(AM24*$AL$11)=0,"",AM24+(AM24*$AL$11)),"")</f>
        <v/>
      </c>
      <c r="F24" s="323">
        <f>IFERROR(IF(AN24+(AN24*$AL$11)=0,"",AN24+(AN24*$AL$11)),"")</f>
        <v/>
      </c>
      <c r="G24" s="323">
        <f>IFERROR(IF(AO24+(AO24*$AL$11)=0,"",AO24+(AO24*$AL$11)),"")</f>
        <v/>
      </c>
      <c r="H24" s="323">
        <f>IFERROR(IF(AP24+(AP24*$AL$11)=0,"",AP24+(AP24*$AL$11)),"")</f>
        <v/>
      </c>
      <c r="I24" s="323">
        <f>IFERROR(IF(AQ24+(AQ24*$AL$11)=0,"",AQ24+(AQ24*$AL$11)),"")</f>
        <v/>
      </c>
      <c r="J24" s="323">
        <f>IFERROR(IF(AR24+(AR24*$AL$11)=0,"",AR24+(AR24*$AL$11)),"")</f>
        <v/>
      </c>
      <c r="K24" s="323">
        <f>IFERROR(IF(AS24+(AS24*$AL$11)=0,"",AS24+(AS24*$AL$11)),"")</f>
        <v/>
      </c>
      <c r="L24" s="323">
        <f>IFERROR(IF(AT24+(AT24*$AL$11)=0,"",AT24+(AT24*$AL$11)),"")</f>
        <v/>
      </c>
      <c r="M24" s="323">
        <f>IFERROR(IF(AU24+(AU24*$AL$11)=0,"",AU24+(AU24*$AL$11)),"")</f>
        <v/>
      </c>
      <c r="N24" s="323">
        <f>IFERROR(IF(AV24+(AV24*$AL$11)=0,"",AV24+(AV24*$AL$11)),"")</f>
        <v/>
      </c>
      <c r="O24" s="323">
        <f>IFERROR(IF(AW24+(AW24*$AL$11)=0,"",AW24+(AW24*$AL$11)),"")</f>
        <v/>
      </c>
      <c r="P24" s="124" t="n"/>
      <c r="Q24" s="352" t="n">
        <v>317</v>
      </c>
      <c r="R24" s="323" t="n">
        <v>18.5</v>
      </c>
      <c r="S24" s="323" t="n">
        <v>41.46</v>
      </c>
      <c r="U24" s="65" t="n"/>
      <c r="V24" t="n">
        <v>3</v>
      </c>
      <c r="W24" s="338" t="inlineStr">
        <is>
          <t>1 Combi (eigen)</t>
        </is>
      </c>
      <c r="X24" s="339" t="n">
        <v>60</v>
      </c>
      <c r="Y24" s="344" t="n">
        <v>1</v>
      </c>
      <c r="Z24" s="341">
        <f>SUM((Y24*$Y$1)+X24)</f>
        <v/>
      </c>
      <c r="AA24" s="345" t="n"/>
      <c r="AB24" s="345" t="n"/>
      <c r="AC24" s="343">
        <f>AA24+AB24</f>
        <v/>
      </c>
      <c r="AD24" s="343" t="n">
        <v>10</v>
      </c>
      <c r="AE24" s="343">
        <f>SUM((IF(AD24&gt;8,(SUM(AB24+AA24)*8),(SUM(AB24+AA24)*AD24)))+(Z24*AD24))</f>
        <v/>
      </c>
      <c r="AJ24" s="91" t="n">
        <v>315</v>
      </c>
      <c r="AK24" s="137" t="n">
        <v>83.664</v>
      </c>
      <c r="AL24" s="138" t="n">
        <v>97.0928</v>
      </c>
      <c r="AM24" s="138" t="n">
        <v>106.904</v>
      </c>
      <c r="AN24" s="138" t="n">
        <v>118.7648</v>
      </c>
      <c r="AO24" s="138" t="inlineStr"/>
      <c r="AP24" s="138" t="inlineStr"/>
      <c r="AQ24" s="138" t="inlineStr"/>
      <c r="AR24" s="138" t="inlineStr"/>
      <c r="AS24" s="138" t="inlineStr"/>
      <c r="AT24" s="138" t="inlineStr"/>
      <c r="AU24" s="138" t="inlineStr"/>
      <c r="AV24" s="138" t="inlineStr"/>
      <c r="AW24" s="139" t="inlineStr"/>
    </row>
    <row r="25">
      <c r="B25" s="322" t="n">
        <v>350</v>
      </c>
      <c r="C25" s="323">
        <f>IFERROR(IF(AK25+(AK25*$AL$11)=0,"",AK25+(AK25*$AL$11)),"")</f>
        <v/>
      </c>
      <c r="D25" s="323">
        <f>IFERROR(IF(AL25+(AL25*$AL$11)=0,"",AL25+(AL25*$AL$11)),"")</f>
        <v/>
      </c>
      <c r="E25" s="323">
        <f>IFERROR(IF(AM25+(AM25*$AL$11)=0,"",AM25+(AM25*$AL$11)),"")</f>
        <v/>
      </c>
      <c r="F25" s="323">
        <f>IFERROR(IF(AN25+(AN25*$AL$11)=0,"",AN25+(AN25*$AL$11)),"")</f>
        <v/>
      </c>
      <c r="G25" s="323">
        <f>IFERROR(IF(AO25+(AO25*$AL$11)=0,"",AO25+(AO25*$AL$11)),"")</f>
        <v/>
      </c>
      <c r="H25" s="323">
        <f>IFERROR(IF(AP25+(AP25*$AL$11)=0,"",AP25+(AP25*$AL$11)),"")</f>
        <v/>
      </c>
      <c r="I25" s="323">
        <f>IFERROR(IF(AQ25+(AQ25*$AL$11)=0,"",AQ25+(AQ25*$AL$11)),"")</f>
        <v/>
      </c>
      <c r="J25" s="323">
        <f>IFERROR(IF(AR25+(AR25*$AL$11)=0,"",AR25+(AR25*$AL$11)),"")</f>
        <v/>
      </c>
      <c r="K25" s="323">
        <f>IFERROR(IF(AS25+(AS25*$AL$11)=0,"",AS25+(AS25*$AL$11)),"")</f>
        <v/>
      </c>
      <c r="L25" s="323">
        <f>IFERROR(IF(AT25+(AT25*$AL$11)=0,"",AT25+(AT25*$AL$11)),"")</f>
        <v/>
      </c>
      <c r="M25" s="323">
        <f>IFERROR(IF(AU25+(AU25*$AL$11)=0,"",AU25+(AU25*$AL$11)),"")</f>
        <v/>
      </c>
      <c r="N25" s="323">
        <f>IFERROR(IF(AV25+(AV25*$AL$11)=0,"",AV25+(AV25*$AL$11)),"")</f>
        <v/>
      </c>
      <c r="O25" s="323">
        <f>IFERROR(IF(AW25+(AW25*$AL$11)=0,"",AW25+(AW25*$AL$11)),"")</f>
        <v/>
      </c>
      <c r="P25" s="124" t="n"/>
      <c r="Q25" s="352" t="n">
        <v>350</v>
      </c>
      <c r="R25" s="323" t="n">
        <v>20.48</v>
      </c>
      <c r="S25" s="323" t="n">
        <v>41.46</v>
      </c>
      <c r="U25" s="65" t="n"/>
      <c r="V25" t="n">
        <v>5</v>
      </c>
      <c r="W25" s="338" t="inlineStr">
        <is>
          <t>1 Inspectie (eigen)</t>
        </is>
      </c>
      <c r="X25" s="339" t="n">
        <v>55</v>
      </c>
      <c r="Y25" s="344" t="n">
        <v>1</v>
      </c>
      <c r="Z25" s="341">
        <f>SUM((Y25*$Y$1)+X25)</f>
        <v/>
      </c>
      <c r="AA25" s="345" t="n"/>
      <c r="AB25" s="345" t="n"/>
      <c r="AC25" s="343">
        <f>AA25+AB25</f>
        <v/>
      </c>
      <c r="AD25" s="343" t="n">
        <v>10</v>
      </c>
      <c r="AE25" s="343">
        <f>SUM((IF(AD25&gt;8,(SUM(AB25+AA25)*8),(SUM(AB25+AA25)*AD25)))+(Z25*AD25))</f>
        <v/>
      </c>
      <c r="AJ25" s="91" t="n">
        <v>350</v>
      </c>
      <c r="AK25" s="137" t="n">
        <v>75.58879999999999</v>
      </c>
      <c r="AL25" s="138" t="n">
        <v>100.5312</v>
      </c>
      <c r="AM25" s="138" t="n">
        <v>116.9728</v>
      </c>
      <c r="AN25" s="138" t="n">
        <v>130.368</v>
      </c>
      <c r="AO25" s="138" t="inlineStr"/>
      <c r="AP25" s="138" t="inlineStr"/>
      <c r="AQ25" s="138" t="inlineStr"/>
      <c r="AR25" s="138" t="inlineStr"/>
      <c r="AS25" s="138" t="inlineStr"/>
      <c r="AT25" s="138" t="inlineStr"/>
      <c r="AU25" s="138" t="inlineStr"/>
      <c r="AV25" s="138" t="inlineStr"/>
      <c r="AW25" s="139" t="inlineStr"/>
    </row>
    <row r="26">
      <c r="B26" s="322" t="inlineStr">
        <is>
          <t>300/450</t>
        </is>
      </c>
      <c r="C26" s="323">
        <f>IFERROR(IF(AK26+(AK26*$AL$11)=0,"",AK26+(AK26*$AL$11)),"")</f>
        <v/>
      </c>
      <c r="D26" s="323">
        <f>IFERROR(IF(AL26+(AL26*$AL$11)=0,"",AL26+(AL26*$AL$11)),"")</f>
        <v/>
      </c>
      <c r="E26" s="323">
        <f>IFERROR(IF(AM26+(AM26*$AL$11)=0,"",AM26+(AM26*$AL$11)),"")</f>
        <v/>
      </c>
      <c r="F26" s="323">
        <f>IFERROR(IF(AN26+(AN26*$AL$11)=0,"",AN26+(AN26*$AL$11)),"")</f>
        <v/>
      </c>
      <c r="G26" s="323">
        <f>IFERROR(IF(AO26+(AO26*$AL$11)=0,"",AO26+(AO26*$AL$11)),"")</f>
        <v/>
      </c>
      <c r="H26" s="323">
        <f>IFERROR(IF(AP26+(AP26*$AL$11)=0,"",AP26+(AP26*$AL$11)),"")</f>
        <v/>
      </c>
      <c r="I26" s="323">
        <f>IFERROR(IF(AQ26+(AQ26*$AL$11)=0,"",AQ26+(AQ26*$AL$11)),"")</f>
        <v/>
      </c>
      <c r="J26" s="323">
        <f>IFERROR(IF(AR26+(AR26*$AL$11)=0,"",AR26+(AR26*$AL$11)),"")</f>
        <v/>
      </c>
      <c r="K26" s="323">
        <f>IFERROR(IF(AS26+(AS26*$AL$11)=0,"",AS26+(AS26*$AL$11)),"")</f>
        <v/>
      </c>
      <c r="L26" s="323">
        <f>IFERROR(IF(AT26+(AT26*$AL$11)=0,"",AT26+(AT26*$AL$11)),"")</f>
        <v/>
      </c>
      <c r="M26" s="323">
        <f>IFERROR(IF(AU26+(AU26*$AL$11)=0,"",AU26+(AU26*$AL$11)),"")</f>
        <v/>
      </c>
      <c r="N26" s="323">
        <f>IFERROR(IF(AV26+(AV26*$AL$11)=0,"",AV26+(AV26*$AL$11)),"")</f>
        <v/>
      </c>
      <c r="O26" s="323">
        <f>IFERROR(IF(AW26+(AW26*$AL$11)=0,"",AW26+(AW26*$AL$11)),"")</f>
        <v/>
      </c>
      <c r="P26" s="124" t="n"/>
      <c r="Q26" s="352" t="inlineStr">
        <is>
          <t>300/450</t>
        </is>
      </c>
      <c r="R26" s="323" t="n">
        <v>22.73</v>
      </c>
      <c r="S26" s="323" t="n">
        <v>43.61</v>
      </c>
      <c r="U26" s="65" t="n"/>
      <c r="V26" t="n">
        <v>2</v>
      </c>
      <c r="W26" s="338">
        <f>_xlfn.CONCAT("1 UV-set (excl. combi) (",Y26," man)")</f>
        <v/>
      </c>
      <c r="X26" s="339" t="n">
        <v>244</v>
      </c>
      <c r="Y26" s="344" t="n">
        <v>4</v>
      </c>
      <c r="Z26" s="341">
        <f>SUM((Y26*$Y$1)+X26)</f>
        <v/>
      </c>
      <c r="AA26" s="345" t="n"/>
      <c r="AB26" s="345" t="n"/>
      <c r="AC26" s="343">
        <f>AA26+AB26</f>
        <v/>
      </c>
      <c r="AD26" s="343" t="n">
        <v>10</v>
      </c>
      <c r="AE26" s="343">
        <f>SUM((IF(AD26&gt;8,(SUM(AB26+AA26)*8),(SUM(AB26+AA26)*AD26)))+(Z26*AD26))</f>
        <v/>
      </c>
      <c r="AJ26" s="91" t="inlineStr">
        <is>
          <t>300/450</t>
        </is>
      </c>
      <c r="AK26" s="137" t="n">
        <v>97.11519999999999</v>
      </c>
      <c r="AL26" s="138" t="n">
        <v>113.2432</v>
      </c>
      <c r="AM26" s="138" t="n">
        <v>124.0624</v>
      </c>
      <c r="AN26" s="138" t="n">
        <v>138.4544</v>
      </c>
      <c r="AO26" s="138" t="inlineStr"/>
      <c r="AP26" s="138" t="inlineStr"/>
      <c r="AQ26" s="138" t="inlineStr"/>
      <c r="AR26" s="138" t="inlineStr"/>
      <c r="AS26" s="138" t="inlineStr"/>
      <c r="AT26" s="138" t="inlineStr"/>
      <c r="AU26" s="138" t="inlineStr"/>
      <c r="AV26" s="138" t="inlineStr"/>
      <c r="AW26" s="139" t="inlineStr"/>
    </row>
    <row r="27" ht="13.5" customHeight="1" thickBot="1">
      <c r="B27" s="322" t="n">
        <v>378</v>
      </c>
      <c r="C27" s="323">
        <f>IFERROR(IF(AK27+(AK27*$AL$11)=0,"",AK27+(AK27*$AL$11)),"")</f>
        <v/>
      </c>
      <c r="D27" s="323">
        <f>IFERROR(IF(AL27+(AL27*$AL$11)=0,"",AL27+(AL27*$AL$11)),"")</f>
        <v/>
      </c>
      <c r="E27" s="323">
        <f>IFERROR(IF(AM27+(AM27*$AL$11)=0,"",AM27+(AM27*$AL$11)),"")</f>
        <v/>
      </c>
      <c r="F27" s="323">
        <f>IFERROR(IF(AN27+(AN27*$AL$11)=0,"",AN27+(AN27*$AL$11)),"")</f>
        <v/>
      </c>
      <c r="G27" s="323">
        <f>IFERROR(IF(AO27+(AO27*$AL$11)=0,"",AO27+(AO27*$AL$11)),"")</f>
        <v/>
      </c>
      <c r="H27" s="323">
        <f>IFERROR(IF(AP27+(AP27*$AL$11)=0,"",AP27+(AP27*$AL$11)),"")</f>
        <v/>
      </c>
      <c r="I27" s="323">
        <f>IFERROR(IF(AQ27+(AQ27*$AL$11)=0,"",AQ27+(AQ27*$AL$11)),"")</f>
        <v/>
      </c>
      <c r="J27" s="323">
        <f>IFERROR(IF(AR27+(AR27*$AL$11)=0,"",AR27+(AR27*$AL$11)),"")</f>
        <v/>
      </c>
      <c r="K27" s="323">
        <f>IFERROR(IF(AS27+(AS27*$AL$11)=0,"",AS27+(AS27*$AL$11)),"")</f>
        <v/>
      </c>
      <c r="L27" s="323">
        <f>IFERROR(IF(AT27+(AT27*$AL$11)=0,"",AT27+(AT27*$AL$11)),"")</f>
        <v/>
      </c>
      <c r="M27" s="323">
        <f>IFERROR(IF(AU27+(AU27*$AL$11)=0,"",AU27+(AU27*$AL$11)),"")</f>
        <v/>
      </c>
      <c r="N27" s="323">
        <f>IFERROR(IF(AV27+(AV27*$AL$11)=0,"",AV27+(AV27*$AL$11)),"")</f>
        <v/>
      </c>
      <c r="O27" s="323">
        <f>IFERROR(IF(AW27+(AW27*$AL$11)=0,"",AW27+(AW27*$AL$11)),"")</f>
        <v/>
      </c>
      <c r="P27" s="124" t="n"/>
      <c r="Q27" s="352" t="n">
        <v>378</v>
      </c>
      <c r="R27" s="323" t="n">
        <v>22.73</v>
      </c>
      <c r="S27" s="323" t="n">
        <v>43.61</v>
      </c>
      <c r="U27" s="65" t="n"/>
      <c r="V27" t="n">
        <v>2</v>
      </c>
      <c r="W27" s="338">
        <f>_xlfn.CONCAT("1 UV-set (excl. combi) (",Y27," man)")</f>
        <v/>
      </c>
      <c r="X27" s="339" t="n">
        <v>244</v>
      </c>
      <c r="Y27" s="357" t="n">
        <v>5</v>
      </c>
      <c r="Z27" s="341">
        <f>SUM((Y27*$Y$1)+X27)</f>
        <v/>
      </c>
      <c r="AA27" s="358" t="n"/>
      <c r="AB27" s="358" t="n"/>
      <c r="AC27" s="343">
        <f>AA27+AB27</f>
        <v/>
      </c>
      <c r="AD27" s="343" t="n">
        <v>10</v>
      </c>
      <c r="AE27" s="343">
        <f>SUM((IF(AD27&gt;8,(SUM(AB27+AA27)*8),(SUM(AB27+AA27)*AD27)))+(Z27*AD27))</f>
        <v/>
      </c>
      <c r="AJ27" s="91" t="n">
        <v>378</v>
      </c>
      <c r="AK27" s="137" t="n">
        <v>97.11519999999999</v>
      </c>
      <c r="AL27" s="138" t="n">
        <v>113.2432</v>
      </c>
      <c r="AM27" s="138" t="n">
        <v>124.0624</v>
      </c>
      <c r="AN27" s="138" t="n">
        <v>138.4544</v>
      </c>
      <c r="AO27" s="138" t="inlineStr"/>
      <c r="AP27" s="138" t="inlineStr"/>
      <c r="AQ27" s="138" t="inlineStr"/>
      <c r="AR27" s="138" t="inlineStr"/>
      <c r="AS27" s="138" t="inlineStr"/>
      <c r="AT27" s="138" t="inlineStr"/>
      <c r="AU27" s="138" t="inlineStr"/>
      <c r="AV27" s="138" t="inlineStr"/>
      <c r="AW27" s="139" t="inlineStr"/>
    </row>
    <row r="28" ht="13.5" customHeight="1" thickTop="1">
      <c r="B28" s="322" t="n">
        <v>400</v>
      </c>
      <c r="C28" s="323">
        <f>IFERROR(IF(AK28+(AK28*$AL$11)=0,"",AK28+(AK28*$AL$11)),"")</f>
        <v/>
      </c>
      <c r="D28" s="323">
        <f>IFERROR(IF(AL28+(AL28*$AL$11)=0,"",AL28+(AL28*$AL$11)),"")</f>
        <v/>
      </c>
      <c r="E28" s="323">
        <f>IFERROR(IF(AM28+(AM28*$AL$11)=0,"",AM28+(AM28*$AL$11)),"")</f>
        <v/>
      </c>
      <c r="F28" s="323">
        <f>IFERROR(IF(AN28+(AN28*$AL$11)=0,"",AN28+(AN28*$AL$11)),"")</f>
        <v/>
      </c>
      <c r="G28" s="323">
        <f>IFERROR(IF(AO28+(AO28*$AL$11)=0,"",AO28+(AO28*$AL$11)),"")</f>
        <v/>
      </c>
      <c r="H28" s="323">
        <f>IFERROR(IF(AP28+(AP28*$AL$11)=0,"",AP28+(AP28*$AL$11)),"")</f>
        <v/>
      </c>
      <c r="I28" s="323">
        <f>IFERROR(IF(AQ28+(AQ28*$AL$11)=0,"",AQ28+(AQ28*$AL$11)),"")</f>
        <v/>
      </c>
      <c r="J28" s="323">
        <f>IFERROR(IF(AR28+(AR28*$AL$11)=0,"",AR28+(AR28*$AL$11)),"")</f>
        <v/>
      </c>
      <c r="K28" s="323">
        <f>IFERROR(IF(AS28+(AS28*$AL$11)=0,"",AS28+(AS28*$AL$11)),"")</f>
        <v/>
      </c>
      <c r="L28" s="323">
        <f>IFERROR(IF(AT28+(AT28*$AL$11)=0,"",AT28+(AT28*$AL$11)),"")</f>
        <v/>
      </c>
      <c r="M28" s="323">
        <f>IFERROR(IF(AU28+(AU28*$AL$11)=0,"",AU28+(AU28*$AL$11)),"")</f>
        <v/>
      </c>
      <c r="N28" s="323">
        <f>IFERROR(IF(AV28+(AV28*$AL$11)=0,"",AV28+(AV28*$AL$11)),"")</f>
        <v/>
      </c>
      <c r="O28" s="323">
        <f>IFERROR(IF(AW28+(AW28*$AL$11)=0,"",AW28+(AW28*$AL$11)),"")</f>
        <v/>
      </c>
      <c r="P28" s="124" t="n"/>
      <c r="Q28" s="352" t="n">
        <v>400</v>
      </c>
      <c r="R28" s="323" t="n">
        <v>22.73</v>
      </c>
      <c r="S28" s="323" t="n">
        <v>43.61</v>
      </c>
      <c r="U28" s="65" t="n"/>
      <c r="AJ28" s="91" t="n">
        <v>400</v>
      </c>
      <c r="AK28" s="137" t="n">
        <v>84.224</v>
      </c>
      <c r="AL28" s="138" t="n">
        <v>113.0304</v>
      </c>
      <c r="AM28" s="138" t="n">
        <v>131.152</v>
      </c>
      <c r="AN28" s="138" t="n">
        <v>146.5296</v>
      </c>
      <c r="AO28" s="138" t="n">
        <v>166.5552</v>
      </c>
      <c r="AP28" s="138" t="inlineStr"/>
      <c r="AQ28" s="138" t="inlineStr"/>
      <c r="AR28" s="138" t="inlineStr"/>
      <c r="AS28" s="138" t="inlineStr"/>
      <c r="AT28" s="138" t="inlineStr"/>
      <c r="AU28" s="138" t="inlineStr"/>
      <c r="AV28" s="138" t="inlineStr"/>
      <c r="AW28" s="139" t="inlineStr"/>
    </row>
    <row r="29">
      <c r="B29" s="322" t="inlineStr">
        <is>
          <t>350/525</t>
        </is>
      </c>
      <c r="C29" s="323">
        <f>IFERROR(IF(AK29+(AK29*$AL$11)=0,"",AK29+(AK29*$AL$11)),"")</f>
        <v/>
      </c>
      <c r="D29" s="323">
        <f>IFERROR(IF(AL29+(AL29*$AL$11)=0,"",AL29+(AL29*$AL$11)),"")</f>
        <v/>
      </c>
      <c r="E29" s="323">
        <f>IFERROR(IF(AM29+(AM29*$AL$11)=0,"",AM29+(AM29*$AL$11)),"")</f>
        <v/>
      </c>
      <c r="F29" s="323">
        <f>IFERROR(IF(AN29+(AN29*$AL$11)=0,"",AN29+(AN29*$AL$11)),"")</f>
        <v/>
      </c>
      <c r="G29" s="323">
        <f>IFERROR(IF(AO29+(AO29*$AL$11)=0,"",AO29+(AO29*$AL$11)),"")</f>
        <v/>
      </c>
      <c r="H29" s="323">
        <f>IFERROR(IF(AP29+(AP29*$AL$11)=0,"",AP29+(AP29*$AL$11)),"")</f>
        <v/>
      </c>
      <c r="I29" s="323">
        <f>IFERROR(IF(AQ29+(AQ29*$AL$11)=0,"",AQ29+(AQ29*$AL$11)),"")</f>
        <v/>
      </c>
      <c r="J29" s="323">
        <f>IFERROR(IF(AR29+(AR29*$AL$11)=0,"",AR29+(AR29*$AL$11)),"")</f>
        <v/>
      </c>
      <c r="K29" s="323">
        <f>IFERROR(IF(AS29+(AS29*$AL$11)=0,"",AS29+(AS29*$AL$11)),"")</f>
        <v/>
      </c>
      <c r="L29" s="323">
        <f>IFERROR(IF(AT29+(AT29*$AL$11)=0,"",AT29+(AT29*$AL$11)),"")</f>
        <v/>
      </c>
      <c r="M29" s="323">
        <f>IFERROR(IF(AU29+(AU29*$AL$11)=0,"",AU29+(AU29*$AL$11)),"")</f>
        <v/>
      </c>
      <c r="N29" s="323">
        <f>IFERROR(IF(AV29+(AV29*$AL$11)=0,"",AV29+(AV29*$AL$11)),"")</f>
        <v/>
      </c>
      <c r="O29" s="323">
        <f>IFERROR(IF(AW29+(AW29*$AL$11)=0,"",AW29+(AW29*$AL$11)),"")</f>
        <v/>
      </c>
      <c r="P29" s="124" t="n"/>
      <c r="Q29" s="352" t="inlineStr">
        <is>
          <t>350/525</t>
        </is>
      </c>
      <c r="R29" s="323" t="n">
        <v>24.83</v>
      </c>
      <c r="S29" s="323" t="n">
        <v>45.83</v>
      </c>
      <c r="U29" s="65" t="n"/>
      <c r="W29" s="359" t="inlineStr">
        <is>
          <t>UV set</t>
        </is>
      </c>
      <c r="AJ29" s="91" t="inlineStr">
        <is>
          <t>350/525</t>
        </is>
      </c>
      <c r="AK29" s="137" t="inlineStr"/>
      <c r="AL29" s="138" t="n">
        <v>128.7776</v>
      </c>
      <c r="AM29" s="138" t="n">
        <v>139.3168</v>
      </c>
      <c r="AN29" s="138" t="n">
        <v>159.0736</v>
      </c>
      <c r="AO29" s="138" t="n">
        <v>180.88</v>
      </c>
      <c r="AP29" s="138" t="inlineStr"/>
      <c r="AQ29" s="138" t="inlineStr"/>
      <c r="AR29" s="138" t="inlineStr"/>
      <c r="AS29" s="138" t="inlineStr"/>
      <c r="AT29" s="138" t="inlineStr"/>
      <c r="AU29" s="138" t="inlineStr"/>
      <c r="AV29" s="138" t="inlineStr"/>
      <c r="AW29" s="139" t="inlineStr"/>
    </row>
    <row r="30">
      <c r="B30" s="322" t="n">
        <v>442</v>
      </c>
      <c r="C30" s="323">
        <f>IFERROR(IF(AK30+(AK30*$AL$11)=0,"",AK30+(AK30*$AL$11)),"")</f>
        <v/>
      </c>
      <c r="D30" s="323">
        <f>IFERROR(IF(AL30+(AL30*$AL$11)=0,"",AL30+(AL30*$AL$11)),"")</f>
        <v/>
      </c>
      <c r="E30" s="323">
        <f>IFERROR(IF(AM30+(AM30*$AL$11)=0,"",AM30+(AM30*$AL$11)),"")</f>
        <v/>
      </c>
      <c r="F30" s="323">
        <f>IFERROR(IF(AN30+(AN30*$AL$11)=0,"",AN30+(AN30*$AL$11)),"")</f>
        <v/>
      </c>
      <c r="G30" s="323">
        <f>IFERROR(IF(AO30+(AO30*$AL$11)=0,"",AO30+(AO30*$AL$11)),"")</f>
        <v/>
      </c>
      <c r="H30" s="323">
        <f>IFERROR(IF(AP30+(AP30*$AL$11)=0,"",AP30+(AP30*$AL$11)),"")</f>
        <v/>
      </c>
      <c r="I30" s="323">
        <f>IFERROR(IF(AQ30+(AQ30*$AL$11)=0,"",AQ30+(AQ30*$AL$11)),"")</f>
        <v/>
      </c>
      <c r="J30" s="323">
        <f>IFERROR(IF(AR30+(AR30*$AL$11)=0,"",AR30+(AR30*$AL$11)),"")</f>
        <v/>
      </c>
      <c r="K30" s="323">
        <f>IFERROR(IF(AS30+(AS30*$AL$11)=0,"",AS30+(AS30*$AL$11)),"")</f>
        <v/>
      </c>
      <c r="L30" s="323">
        <f>IFERROR(IF(AT30+(AT30*$AL$11)=0,"",AT30+(AT30*$AL$11)),"")</f>
        <v/>
      </c>
      <c r="M30" s="323">
        <f>IFERROR(IF(AU30+(AU30*$AL$11)=0,"",AU30+(AU30*$AL$11)),"")</f>
        <v/>
      </c>
      <c r="N30" s="323">
        <f>IFERROR(IF(AV30+(AV30*$AL$11)=0,"",AV30+(AV30*$AL$11)),"")</f>
        <v/>
      </c>
      <c r="O30" s="323">
        <f>IFERROR(IF(AW30+(AW30*$AL$11)=0,"",AW30+(AW30*$AL$11)),"")</f>
        <v/>
      </c>
      <c r="P30" s="124" t="n"/>
      <c r="Q30" s="352" t="n">
        <v>441</v>
      </c>
      <c r="R30" s="323" t="n">
        <v>24.83</v>
      </c>
      <c r="S30" s="323" t="n">
        <v>45.83</v>
      </c>
      <c r="U30" s="65" t="n"/>
      <c r="W30" s="244" t="inlineStr">
        <is>
          <t>Lier</t>
        </is>
      </c>
      <c r="X30" s="339" t="n">
        <v>15</v>
      </c>
      <c r="AJ30" s="91" t="n">
        <v>442</v>
      </c>
      <c r="AK30" s="137" t="inlineStr"/>
      <c r="AL30" s="138" t="n">
        <v>128.7776</v>
      </c>
      <c r="AM30" s="138" t="n">
        <v>139.3168</v>
      </c>
      <c r="AN30" s="138" t="n">
        <v>159.0736</v>
      </c>
      <c r="AO30" s="138" t="n">
        <v>180.88</v>
      </c>
      <c r="AP30" s="138" t="inlineStr"/>
      <c r="AQ30" s="138" t="inlineStr"/>
      <c r="AR30" s="138" t="inlineStr"/>
      <c r="AS30" s="138" t="inlineStr"/>
      <c r="AT30" s="138" t="inlineStr"/>
      <c r="AU30" s="138" t="inlineStr"/>
      <c r="AV30" s="138" t="inlineStr"/>
      <c r="AW30" s="139" t="inlineStr"/>
    </row>
    <row r="31">
      <c r="B31" s="322" t="n">
        <v>450</v>
      </c>
      <c r="C31" s="323">
        <f>IFERROR(IF(AK31+(AK31*$AL$11)=0,"",AK31+(AK31*$AL$11)),"")</f>
        <v/>
      </c>
      <c r="D31" s="323">
        <f>IFERROR(IF(AL31+(AL31*$AL$11)=0,"",AL31+(AL31*$AL$11)),"")</f>
        <v/>
      </c>
      <c r="E31" s="323">
        <f>IFERROR(IF(AM31+(AM31*$AL$11)=0,"",AM31+(AM31*$AL$11)),"")</f>
        <v/>
      </c>
      <c r="F31" s="323">
        <f>IFERROR(IF(AN31+(AN31*$AL$11)=0,"",AN31+(AN31*$AL$11)),"")</f>
        <v/>
      </c>
      <c r="G31" s="323">
        <f>IFERROR(IF(AO31+(AO31*$AL$11)=0,"",AO31+(AO31*$AL$11)),"")</f>
        <v/>
      </c>
      <c r="H31" s="323">
        <f>IFERROR(IF(AP31+(AP31*$AL$11)=0,"",AP31+(AP31*$AL$11)),"")</f>
        <v/>
      </c>
      <c r="I31" s="323">
        <f>IFERROR(IF(AQ31+(AQ31*$AL$11)=0,"",AQ31+(AQ31*$AL$11)),"")</f>
        <v/>
      </c>
      <c r="J31" s="323">
        <f>IFERROR(IF(AR31+(AR31*$AL$11)=0,"",AR31+(AR31*$AL$11)),"")</f>
        <v/>
      </c>
      <c r="K31" s="323">
        <f>IFERROR(IF(AS31+(AS31*$AL$11)=0,"",AS31+(AS31*$AL$11)),"")</f>
        <v/>
      </c>
      <c r="L31" s="323">
        <f>IFERROR(IF(AT31+(AT31*$AL$11)=0,"",AT31+(AT31*$AL$11)),"")</f>
        <v/>
      </c>
      <c r="M31" s="323">
        <f>IFERROR(IF(AU31+(AU31*$AL$11)=0,"",AU31+(AU31*$AL$11)),"")</f>
        <v/>
      </c>
      <c r="N31" s="323">
        <f>IFERROR(IF(AV31+(AV31*$AL$11)=0,"",AV31+(AV31*$AL$11)),"")</f>
        <v/>
      </c>
      <c r="O31" s="323">
        <f>IFERROR(IF(AW31+(AW31*$AL$11)=0,"",AW31+(AW31*$AL$11)),"")</f>
        <v/>
      </c>
      <c r="P31" s="124" t="n"/>
      <c r="Q31" s="352" t="n">
        <v>450</v>
      </c>
      <c r="R31" s="323" t="n">
        <v>24.83</v>
      </c>
      <c r="S31" s="323" t="n">
        <v>45.83</v>
      </c>
      <c r="U31" s="65" t="n"/>
      <c r="W31" t="inlineStr">
        <is>
          <t>Bus</t>
        </is>
      </c>
      <c r="X31" s="360" t="n">
        <v>14</v>
      </c>
      <c r="AJ31" s="91" t="n">
        <v>450</v>
      </c>
      <c r="AK31" s="137" t="n">
        <v>114.9344</v>
      </c>
      <c r="AL31" s="138" t="n">
        <v>131.1184</v>
      </c>
      <c r="AM31" s="138" t="n">
        <v>141.848</v>
      </c>
      <c r="AN31" s="138" t="n">
        <v>161.952</v>
      </c>
      <c r="AO31" s="138" t="n">
        <v>184.1504</v>
      </c>
      <c r="AP31" s="138" t="inlineStr"/>
      <c r="AQ31" s="138" t="inlineStr"/>
      <c r="AR31" s="138" t="inlineStr"/>
      <c r="AS31" s="138" t="inlineStr"/>
      <c r="AT31" s="138" t="inlineStr"/>
      <c r="AU31" s="138" t="inlineStr"/>
      <c r="AV31" s="138" t="inlineStr"/>
      <c r="AW31" s="139" t="inlineStr"/>
    </row>
    <row r="32">
      <c r="B32" s="322" t="n">
        <v>500</v>
      </c>
      <c r="C32" s="323">
        <f>IFERROR(IF(AK32+(AK32*$AL$11)=0,"",AK32+(AK32*$AL$11)),"")</f>
        <v/>
      </c>
      <c r="D32" s="323">
        <f>IFERROR(IF(AL32+(AL32*$AL$11)=0,"",AL32+(AL32*$AL$11)),"")</f>
        <v/>
      </c>
      <c r="E32" s="323">
        <f>IFERROR(IF(AM32+(AM32*$AL$11)=0,"",AM32+(AM32*$AL$11)),"")</f>
        <v/>
      </c>
      <c r="F32" s="323">
        <f>IFERROR(IF(AN32+(AN32*$AL$11)=0,"",AN32+(AN32*$AL$11)),"")</f>
        <v/>
      </c>
      <c r="G32" s="323">
        <f>IFERROR(IF(AO32+(AO32*$AL$11)=0,"",AO32+(AO32*$AL$11)),"")</f>
        <v/>
      </c>
      <c r="H32" s="323">
        <f>IFERROR(IF(AP32+(AP32*$AL$11)=0,"",AP32+(AP32*$AL$11)),"")</f>
        <v/>
      </c>
      <c r="I32" s="323">
        <f>IFERROR(IF(AQ32+(AQ32*$AL$11)=0,"",AQ32+(AQ32*$AL$11)),"")</f>
        <v/>
      </c>
      <c r="J32" s="323">
        <f>IFERROR(IF(AR32+(AR32*$AL$11)=0,"",AR32+(AR32*$AL$11)),"")</f>
        <v/>
      </c>
      <c r="K32" s="323">
        <f>IFERROR(IF(AS32+(AS32*$AL$11)=0,"",AS32+(AS32*$AL$11)),"")</f>
        <v/>
      </c>
      <c r="L32" s="323">
        <f>IFERROR(IF(AT32+(AT32*$AL$11)=0,"",AT32+(AT32*$AL$11)),"")</f>
        <v/>
      </c>
      <c r="M32" s="323">
        <f>IFERROR(IF(AU32+(AU32*$AL$11)=0,"",AU32+(AU32*$AL$11)),"")</f>
        <v/>
      </c>
      <c r="N32" s="323">
        <f>IFERROR(IF(AV32+(AV32*$AL$11)=0,"",AV32+(AV32*$AL$11)),"")</f>
        <v/>
      </c>
      <c r="O32" s="323">
        <f>IFERROR(IF(AW32+(AW32*$AL$11)=0,"",AW32+(AW32*$AL$11)),"")</f>
        <v/>
      </c>
      <c r="P32" s="124" t="n"/>
      <c r="Q32" s="352" t="n">
        <v>500</v>
      </c>
      <c r="R32" s="323" t="n">
        <v>27</v>
      </c>
      <c r="S32" s="323" t="n">
        <v>48.05</v>
      </c>
      <c r="U32" s="65" t="n"/>
      <c r="W32" t="inlineStr">
        <is>
          <t>UV</t>
        </is>
      </c>
      <c r="X32" s="360" t="n">
        <v>130</v>
      </c>
      <c r="AJ32" s="91" t="n">
        <v>500</v>
      </c>
      <c r="AK32" s="137" t="n">
        <v>127.6352</v>
      </c>
      <c r="AL32" s="138" t="n">
        <v>142.8896</v>
      </c>
      <c r="AM32" s="138" t="n">
        <v>153.1376</v>
      </c>
      <c r="AN32" s="138" t="n">
        <v>178.0464</v>
      </c>
      <c r="AO32" s="138" t="n">
        <v>202.496</v>
      </c>
      <c r="AP32" s="138" t="n">
        <v>231.1792</v>
      </c>
      <c r="AQ32" s="138" t="inlineStr"/>
      <c r="AR32" s="138" t="inlineStr"/>
      <c r="AS32" s="138" t="inlineStr"/>
      <c r="AT32" s="138" t="inlineStr"/>
      <c r="AU32" s="138" t="inlineStr"/>
      <c r="AV32" s="138" t="inlineStr"/>
      <c r="AW32" s="139" t="inlineStr"/>
    </row>
    <row r="33">
      <c r="B33" s="322" t="inlineStr">
        <is>
          <t>400/600</t>
        </is>
      </c>
      <c r="C33" s="323">
        <f>IFERROR(IF(AK33+(AK33*$AL$11)=0,"",AK33+(AK33*$AL$11)),"")</f>
        <v/>
      </c>
      <c r="D33" s="323">
        <f>IFERROR(IF(AL33+(AL33*$AL$11)=0,"",AL33+(AL33*$AL$11)),"")</f>
        <v/>
      </c>
      <c r="E33" s="323">
        <f>IFERROR(IF(AM33+(AM33*$AL$11)=0,"",AM33+(AM33*$AL$11)),"")</f>
        <v/>
      </c>
      <c r="F33" s="323">
        <f>IFERROR(IF(AN33+(AN33*$AL$11)=0,"",AN33+(AN33*$AL$11)),"")</f>
        <v/>
      </c>
      <c r="G33" s="323">
        <f>IFERROR(IF(AO33+(AO33*$AL$11)=0,"",AO33+(AO33*$AL$11)),"")</f>
        <v/>
      </c>
      <c r="H33" s="323">
        <f>IFERROR(IF(AP33+(AP33*$AL$11)=0,"",AP33+(AP33*$AL$11)),"")</f>
        <v/>
      </c>
      <c r="I33" s="323">
        <f>IFERROR(IF(AQ33+(AQ33*$AL$11)=0,"",AQ33+(AQ33*$AL$11)),"")</f>
        <v/>
      </c>
      <c r="J33" s="323">
        <f>IFERROR(IF(AR33+(AR33*$AL$11)=0,"",AR33+(AR33*$AL$11)),"")</f>
        <v/>
      </c>
      <c r="K33" s="323">
        <f>IFERROR(IF(AS33+(AS33*$AL$11)=0,"",AS33+(AS33*$AL$11)),"")</f>
        <v/>
      </c>
      <c r="L33" s="323">
        <f>IFERROR(IF(AT33+(AT33*$AL$11)=0,"",AT33+(AT33*$AL$11)),"")</f>
        <v/>
      </c>
      <c r="M33" s="323">
        <f>IFERROR(IF(AU33+(AU33*$AL$11)=0,"",AU33+(AU33*$AL$11)),"")</f>
        <v/>
      </c>
      <c r="N33" s="323">
        <f>IFERROR(IF(AV33+(AV33*$AL$11)=0,"",AV33+(AV33*$AL$11)),"")</f>
        <v/>
      </c>
      <c r="O33" s="323">
        <f>IFERROR(IF(AW33+(AW33*$AL$11)=0,"",AW33+(AW33*$AL$11)),"")</f>
        <v/>
      </c>
      <c r="P33" s="124" t="n"/>
      <c r="Q33" s="352" t="inlineStr">
        <is>
          <t>400/600</t>
        </is>
      </c>
      <c r="R33" s="323" t="n">
        <v>27</v>
      </c>
      <c r="S33" s="323" t="n">
        <v>48.05</v>
      </c>
      <c r="U33" s="65" t="n"/>
      <c r="W33" t="inlineStr">
        <is>
          <t>kraan</t>
        </is>
      </c>
      <c r="X33" s="361" t="n">
        <v>85</v>
      </c>
      <c r="AJ33" s="91" t="inlineStr">
        <is>
          <t>400/600</t>
        </is>
      </c>
      <c r="AK33" s="137" t="inlineStr"/>
      <c r="AL33" s="138" t="n">
        <v>144.3344</v>
      </c>
      <c r="AM33" s="138" t="n">
        <v>154.6608</v>
      </c>
      <c r="AN33" s="138" t="n">
        <v>179.8272</v>
      </c>
      <c r="AO33" s="138" t="n">
        <v>204.5232</v>
      </c>
      <c r="AP33" s="138" t="inlineStr"/>
      <c r="AQ33" s="138" t="inlineStr"/>
      <c r="AR33" s="138" t="inlineStr"/>
      <c r="AS33" s="138" t="inlineStr"/>
      <c r="AT33" s="138" t="inlineStr"/>
      <c r="AU33" s="138" t="inlineStr"/>
      <c r="AV33" s="138" t="inlineStr"/>
      <c r="AW33" s="139" t="inlineStr"/>
    </row>
    <row r="34">
      <c r="B34" s="322" t="n">
        <v>505</v>
      </c>
      <c r="C34" s="323">
        <f>IFERROR(IF(AK34+(AK34*$AL$11)=0,"",AK34+(AK34*$AL$11)),"")</f>
        <v/>
      </c>
      <c r="D34" s="323">
        <f>IFERROR(IF(AL34+(AL34*$AL$11)=0,"",AL34+(AL34*$AL$11)),"")</f>
        <v/>
      </c>
      <c r="E34" s="323">
        <f>IFERROR(IF(AM34+(AM34*$AL$11)=0,"",AM34+(AM34*$AL$11)),"")</f>
        <v/>
      </c>
      <c r="F34" s="323">
        <f>IFERROR(IF(AN34+(AN34*$AL$11)=0,"",AN34+(AN34*$AL$11)),"")</f>
        <v/>
      </c>
      <c r="G34" s="323">
        <f>IFERROR(IF(AO34+(AO34*$AL$11)=0,"",AO34+(AO34*$AL$11)),"")</f>
        <v/>
      </c>
      <c r="H34" s="323">
        <f>IFERROR(IF(AP34+(AP34*$AL$11)=0,"",AP34+(AP34*$AL$11)),"")</f>
        <v/>
      </c>
      <c r="I34" s="323">
        <f>IFERROR(IF(AQ34+(AQ34*$AL$11)=0,"",AQ34+(AQ34*$AL$11)),"")</f>
        <v/>
      </c>
      <c r="J34" s="323">
        <f>IFERROR(IF(AR34+(AR34*$AL$11)=0,"",AR34+(AR34*$AL$11)),"")</f>
        <v/>
      </c>
      <c r="K34" s="323">
        <f>IFERROR(IF(AS34+(AS34*$AL$11)=0,"",AS34+(AS34*$AL$11)),"")</f>
        <v/>
      </c>
      <c r="L34" s="323">
        <f>IFERROR(IF(AT34+(AT34*$AL$11)=0,"",AT34+(AT34*$AL$11)),"")</f>
        <v/>
      </c>
      <c r="M34" s="323">
        <f>IFERROR(IF(AU34+(AU34*$AL$11)=0,"",AU34+(AU34*$AL$11)),"")</f>
        <v/>
      </c>
      <c r="N34" s="323">
        <f>IFERROR(IF(AV34+(AV34*$AL$11)=0,"",AV34+(AV34*$AL$11)),"")</f>
        <v/>
      </c>
      <c r="O34" s="323">
        <f>IFERROR(IF(AW34+(AW34*$AL$11)=0,"",AW34+(AW34*$AL$11)),"")</f>
        <v/>
      </c>
      <c r="P34" s="124" t="n"/>
      <c r="Q34" s="352" t="n">
        <v>505</v>
      </c>
      <c r="R34" s="323" t="n">
        <v>27</v>
      </c>
      <c r="S34" s="323" t="n">
        <v>48.05</v>
      </c>
      <c r="U34" s="65" t="n"/>
      <c r="X34" s="362">
        <f>SUM(X30:X33)</f>
        <v/>
      </c>
      <c r="AJ34" s="91" t="n">
        <v>505</v>
      </c>
      <c r="AK34" s="137" t="inlineStr"/>
      <c r="AL34" s="138" t="n">
        <v>144.3344</v>
      </c>
      <c r="AM34" s="138" t="n">
        <v>154.6608</v>
      </c>
      <c r="AN34" s="138" t="n">
        <v>179.8272</v>
      </c>
      <c r="AO34" s="138" t="n">
        <v>204.5232</v>
      </c>
      <c r="AP34" s="138" t="inlineStr"/>
      <c r="AQ34" s="138" t="inlineStr"/>
      <c r="AR34" s="138" t="inlineStr"/>
      <c r="AS34" s="138" t="inlineStr"/>
      <c r="AT34" s="138" t="inlineStr"/>
      <c r="AU34" s="138" t="inlineStr"/>
      <c r="AV34" s="138" t="inlineStr"/>
      <c r="AW34" s="139" t="inlineStr"/>
    </row>
    <row r="35">
      <c r="B35" s="322" t="n">
        <v>550</v>
      </c>
      <c r="C35" s="323">
        <f>IFERROR(IF(AK35+(AK35*$AL$11)=0,"",AK35+(AK35*$AL$11)),"")</f>
        <v/>
      </c>
      <c r="D35" s="323">
        <f>IFERROR(IF(AL35+(AL35*$AL$11)=0,"",AL35+(AL35*$AL$11)),"")</f>
        <v/>
      </c>
      <c r="E35" s="323">
        <f>IFERROR(IF(AM35+(AM35*$AL$11)=0,"",AM35+(AM35*$AL$11)),"")</f>
        <v/>
      </c>
      <c r="F35" s="323">
        <f>IFERROR(IF(AN35+(AN35*$AL$11)=0,"",AN35+(AN35*$AL$11)),"")</f>
        <v/>
      </c>
      <c r="G35" s="323">
        <f>IFERROR(IF(AO35+(AO35*$AL$11)=0,"",AO35+(AO35*$AL$11)),"")</f>
        <v/>
      </c>
      <c r="H35" s="323">
        <f>IFERROR(IF(AP35+(AP35*$AL$11)=0,"",AP35+(AP35*$AL$11)),"")</f>
        <v/>
      </c>
      <c r="I35" s="323">
        <f>IFERROR(IF(AQ35+(AQ35*$AL$11)=0,"",AQ35+(AQ35*$AL$11)),"")</f>
        <v/>
      </c>
      <c r="J35" s="323">
        <f>IFERROR(IF(AR35+(AR35*$AL$11)=0,"",AR35+(AR35*$AL$11)),"")</f>
        <v/>
      </c>
      <c r="K35" s="323">
        <f>IFERROR(IF(AS35+(AS35*$AL$11)=0,"",AS35+(AS35*$AL$11)),"")</f>
        <v/>
      </c>
      <c r="L35" s="323">
        <f>IFERROR(IF(AT35+(AT35*$AL$11)=0,"",AT35+(AT35*$AL$11)),"")</f>
        <v/>
      </c>
      <c r="M35" s="323">
        <f>IFERROR(IF(AU35+(AU35*$AL$11)=0,"",AU35+(AU35*$AL$11)),"")</f>
        <v/>
      </c>
      <c r="N35" s="323">
        <f>IFERROR(IF(AV35+(AV35*$AL$11)=0,"",AV35+(AV35*$AL$11)),"")</f>
        <v/>
      </c>
      <c r="O35" s="323">
        <f>IFERROR(IF(AW35+(AW35*$AL$11)=0,"",AW35+(AW35*$AL$11)),"")</f>
        <v/>
      </c>
      <c r="P35" s="124" t="n"/>
      <c r="Q35" s="352" t="n">
        <v>550</v>
      </c>
      <c r="R35" s="323" t="n">
        <v>29.1</v>
      </c>
      <c r="S35" s="323" t="n">
        <v>49.73</v>
      </c>
      <c r="U35" s="65" t="n"/>
      <c r="AJ35" s="91" t="n">
        <v>550</v>
      </c>
      <c r="AK35" s="137" t="n">
        <v>140.336</v>
      </c>
      <c r="AL35" s="138" t="n">
        <v>157.5056</v>
      </c>
      <c r="AM35" s="138" t="n">
        <v>170.072</v>
      </c>
      <c r="AN35" s="138" t="n">
        <v>194.1296</v>
      </c>
      <c r="AO35" s="138" t="n">
        <v>220.8416</v>
      </c>
      <c r="AP35" s="138" t="n">
        <v>251.6528</v>
      </c>
      <c r="AQ35" s="138" t="inlineStr"/>
      <c r="AR35" s="138" t="inlineStr"/>
      <c r="AS35" s="138" t="inlineStr"/>
      <c r="AT35" s="138" t="inlineStr"/>
      <c r="AU35" s="138" t="inlineStr"/>
      <c r="AV35" s="138" t="inlineStr"/>
      <c r="AW35" s="139" t="inlineStr"/>
    </row>
    <row r="36">
      <c r="B36" s="322" t="n">
        <v>600</v>
      </c>
      <c r="C36" s="323">
        <f>IFERROR(IF(AK36+(AK36*$AL$11)=0,"",AK36+(AK36*$AL$11)),"")</f>
        <v/>
      </c>
      <c r="D36" s="323">
        <f>IFERROR(IF(AL36+(AL36*$AL$11)=0,"",AL36+(AL36*$AL$11)),"")</f>
        <v/>
      </c>
      <c r="E36" s="323">
        <f>IFERROR(IF(AM36+(AM36*$AL$11)=0,"",AM36+(AM36*$AL$11)),"")</f>
        <v/>
      </c>
      <c r="F36" s="323">
        <f>IFERROR(IF(AN36+(AN36*$AL$11)=0,"",AN36+(AN36*$AL$11)),"")</f>
        <v/>
      </c>
      <c r="G36" s="323">
        <f>IFERROR(IF(AO36+(AO36*$AL$11)=0,"",AO36+(AO36*$AL$11)),"")</f>
        <v/>
      </c>
      <c r="H36" s="323">
        <f>IFERROR(IF(AP36+(AP36*$AL$11)=0,"",AP36+(AP36*$AL$11)),"")</f>
        <v/>
      </c>
      <c r="I36" s="323">
        <f>IFERROR(IF(AQ36+(AQ36*$AL$11)=0,"",AQ36+(AQ36*$AL$11)),"")</f>
        <v/>
      </c>
      <c r="J36" s="323">
        <f>IFERROR(IF(AR36+(AR36*$AL$11)=0,"",AR36+(AR36*$AL$11)),"")</f>
        <v/>
      </c>
      <c r="K36" s="323">
        <f>IFERROR(IF(AS36+(AS36*$AL$11)=0,"",AS36+(AS36*$AL$11)),"")</f>
        <v/>
      </c>
      <c r="L36" s="323">
        <f>IFERROR(IF(AT36+(AT36*$AL$11)=0,"",AT36+(AT36*$AL$11)),"")</f>
        <v/>
      </c>
      <c r="M36" s="323" t="n"/>
      <c r="N36" s="323">
        <f>IFERROR(IF(AV36+(AV36*$AL$11)=0,"",AV36+(AV36*$AL$11)),"")</f>
        <v/>
      </c>
      <c r="O36" s="323">
        <f>IFERROR(IF(AW36+(AW36*$AL$11)=0,"",AW36+(AW36*$AL$11)),"")</f>
        <v/>
      </c>
      <c r="P36" s="124" t="n"/>
      <c r="Q36" s="352" t="n">
        <v>600</v>
      </c>
      <c r="R36" s="323" t="n">
        <v>31.28</v>
      </c>
      <c r="S36" s="323" t="n">
        <v>62.12</v>
      </c>
      <c r="U36" s="65" t="n"/>
      <c r="W36" s="17" t="inlineStr">
        <is>
          <t>WATER set</t>
        </is>
      </c>
      <c r="AJ36" s="91" t="n">
        <v>600</v>
      </c>
      <c r="AK36" s="137" t="n">
        <v>153.0368</v>
      </c>
      <c r="AL36" s="138" t="n">
        <v>172.1104</v>
      </c>
      <c r="AM36" s="138" t="n">
        <v>187.0064</v>
      </c>
      <c r="AN36" s="138" t="n">
        <v>210.224</v>
      </c>
      <c r="AO36" s="138" t="n">
        <v>239.1872</v>
      </c>
      <c r="AP36" s="138" t="n">
        <v>272.104</v>
      </c>
      <c r="AQ36" s="138" t="inlineStr"/>
      <c r="AR36" s="138" t="inlineStr"/>
      <c r="AS36" s="138" t="inlineStr"/>
      <c r="AT36" s="138" t="inlineStr"/>
      <c r="AU36" s="138" t="inlineStr"/>
      <c r="AV36" s="138" t="inlineStr"/>
      <c r="AW36" s="139" t="inlineStr"/>
    </row>
    <row r="37">
      <c r="B37" s="322" t="inlineStr">
        <is>
          <t>500/750</t>
        </is>
      </c>
      <c r="C37" s="323">
        <f>IFERROR(IF(AK37+(AK37*$AL$11)=0,"",AK37+(AK37*$AL$11)),"")</f>
        <v/>
      </c>
      <c r="D37" s="323">
        <f>IFERROR(IF(AL37+(AL37*$AL$11)=0,"",AL37+(AL37*$AL$11)),"")</f>
        <v/>
      </c>
      <c r="E37" s="323">
        <f>IFERROR(IF(AM37+(AM37*$AL$11)=0,"",AM37+(AM37*$AL$11)),"")</f>
        <v/>
      </c>
      <c r="F37" s="323">
        <f>IFERROR(IF(AN37+(AN37*$AL$11)=0,"",AN37+(AN37*$AL$11)),"")</f>
        <v/>
      </c>
      <c r="G37" s="323">
        <f>IFERROR(IF(AO37+(AO37*$AL$11)=0,"",AO37+(AO37*$AL$11)),"")</f>
        <v/>
      </c>
      <c r="H37" s="323">
        <f>IFERROR(IF(AP37+(AP37*$AL$11)=0,"",AP37+(AP37*$AL$11)),"")</f>
        <v/>
      </c>
      <c r="I37" s="323">
        <f>IFERROR(IF(AQ37+(AQ37*$AL$11)=0,"",AQ37+(AQ37*$AL$11)),"")</f>
        <v/>
      </c>
      <c r="J37" s="323">
        <f>IFERROR(IF(AR37+(AR37*$AL$11)=0,"",AR37+(AR37*$AL$11)),"")</f>
        <v/>
      </c>
      <c r="K37" s="323">
        <f>IFERROR(IF(AS37+(AS37*$AL$11)=0,"",AS37+(AS37*$AL$11)),"")</f>
        <v/>
      </c>
      <c r="L37" s="323">
        <f>IFERROR(IF(AT37+(AT37*$AL$11)=0,"",AT37+(AT37*$AL$11)),"")</f>
        <v/>
      </c>
      <c r="M37" s="323" t="n"/>
      <c r="N37" s="323">
        <f>IFERROR(IF(AV37+(AV37*$AL$11)=0,"",AV37+(AV37*$AL$11)),"")</f>
        <v/>
      </c>
      <c r="O37" s="323">
        <f>IFERROR(IF(AW37+(AW37*$AL$11)=0,"",AW37+(AW37*$AL$11)),"")</f>
        <v/>
      </c>
      <c r="P37" s="124" t="n"/>
      <c r="Q37" s="352" t="inlineStr">
        <is>
          <t>500/750</t>
        </is>
      </c>
      <c r="R37" s="323" t="n">
        <v>32.33</v>
      </c>
      <c r="S37" s="323" t="n">
        <v>63.27</v>
      </c>
      <c r="U37" s="65" t="n"/>
      <c r="W37" t="inlineStr">
        <is>
          <t>Mulit + kous</t>
        </is>
      </c>
      <c r="X37" s="363" t="n">
        <v>45</v>
      </c>
      <c r="AJ37" s="91" t="inlineStr">
        <is>
          <t>500/750</t>
        </is>
      </c>
      <c r="AK37" s="137" t="inlineStr"/>
      <c r="AL37" s="138" t="inlineStr"/>
      <c r="AM37" s="138" t="n">
        <v>192.0352</v>
      </c>
      <c r="AN37" s="138" t="n">
        <v>216.0928</v>
      </c>
      <c r="AO37" s="138" t="n">
        <v>245.9072</v>
      </c>
      <c r="AP37" s="138" t="n">
        <v>279.3616</v>
      </c>
      <c r="AQ37" s="138" t="n">
        <v>305.1664</v>
      </c>
      <c r="AR37" s="138" t="inlineStr"/>
      <c r="AS37" s="138" t="inlineStr"/>
      <c r="AT37" s="138" t="inlineStr"/>
      <c r="AU37" s="138" t="inlineStr"/>
      <c r="AV37" s="138" t="inlineStr"/>
      <c r="AW37" s="139" t="inlineStr"/>
    </row>
    <row r="38">
      <c r="B38" s="322" t="n">
        <v>631</v>
      </c>
      <c r="C38" s="323">
        <f>IFERROR(IF(AK38+(AK38*$AL$11)=0,"",AK38+(AK38*$AL$11)),"")</f>
        <v/>
      </c>
      <c r="D38" s="323">
        <f>IFERROR(IF(AL38+(AL38*$AL$11)=0,"",AL38+(AL38*$AL$11)),"")</f>
        <v/>
      </c>
      <c r="E38" s="323">
        <f>IFERROR(IF(AM38+(AM38*$AL$11)=0,"",AM38+(AM38*$AL$11)),"")</f>
        <v/>
      </c>
      <c r="F38" s="323">
        <f>IFERROR(IF(AN38+(AN38*$AL$11)=0,"",AN38+(AN38*$AL$11)),"")</f>
        <v/>
      </c>
      <c r="G38" s="323">
        <f>IFERROR(IF(AO38+(AO38*$AL$11)=0,"",AO38+(AO38*$AL$11)),"")</f>
        <v/>
      </c>
      <c r="H38" s="323">
        <f>IFERROR(IF(AP38+(AP38*$AL$11)=0,"",AP38+(AP38*$AL$11)),"")</f>
        <v/>
      </c>
      <c r="I38" s="323">
        <f>IFERROR(IF(AQ38+(AQ38*$AL$11)=0,"",AQ38+(AQ38*$AL$11)),"")</f>
        <v/>
      </c>
      <c r="J38" s="323">
        <f>IFERROR(IF(AR38+(AR38*$AL$11)=0,"",AR38+(AR38*$AL$11)),"")</f>
        <v/>
      </c>
      <c r="K38" s="323">
        <f>IFERROR(IF(AS38+(AS38*$AL$11)=0,"",AS38+(AS38*$AL$11)),"")</f>
        <v/>
      </c>
      <c r="L38" s="323">
        <f>IFERROR(IF(AT38+(AT38*$AL$11)=0,"",AT38+(AT38*$AL$11)),"")</f>
        <v/>
      </c>
      <c r="M38" s="323">
        <f>IFERROR(IF(AU38+(AU38*$AL$11)=0,"",AU38+(AU38*$AL$11)),"")</f>
        <v/>
      </c>
      <c r="N38" s="323">
        <f>IFERROR(IF(AV38+(AV38*$AL$11)=0,"",AV38+(AV38*$AL$11)),"")</f>
        <v/>
      </c>
      <c r="O38" s="323">
        <f>IFERROR(IF(AW38+(AW38*$AL$11)=0,"",AW38+(AW38*$AL$11)),"")</f>
        <v/>
      </c>
      <c r="P38" s="124" t="n"/>
      <c r="Q38" s="352" t="n">
        <v>631</v>
      </c>
      <c r="R38" s="323" t="n">
        <v>32.33</v>
      </c>
      <c r="S38" s="323" t="n">
        <v>63.27</v>
      </c>
      <c r="U38" s="65" t="n"/>
      <c r="W38" t="inlineStr">
        <is>
          <t>Voorwagen</t>
        </is>
      </c>
      <c r="X38" s="363" t="n">
        <v>25.3</v>
      </c>
      <c r="AJ38" s="91" t="n">
        <v>631</v>
      </c>
      <c r="AK38" s="137" t="inlineStr"/>
      <c r="AL38" s="138" t="inlineStr"/>
      <c r="AM38" s="138" t="n">
        <v>192.0352</v>
      </c>
      <c r="AN38" s="138" t="n">
        <v>216.0928</v>
      </c>
      <c r="AO38" s="138" t="n">
        <v>245.9072</v>
      </c>
      <c r="AP38" s="138" t="n">
        <v>279.3616</v>
      </c>
      <c r="AQ38" s="138" t="n">
        <v>305.1664</v>
      </c>
      <c r="AR38" s="138" t="inlineStr"/>
      <c r="AS38" s="138" t="inlineStr"/>
      <c r="AT38" s="138" t="inlineStr"/>
      <c r="AU38" s="138" t="inlineStr"/>
      <c r="AV38" s="138" t="inlineStr"/>
      <c r="AW38" s="139" t="inlineStr"/>
    </row>
    <row r="39">
      <c r="B39" s="322" t="n">
        <v>650</v>
      </c>
      <c r="C39" s="323">
        <f>IFERROR(IF(AK39+(AK39*$AL$11)=0,"",AK39+(AK39*$AL$11)),"")</f>
        <v/>
      </c>
      <c r="D39" s="323">
        <f>IFERROR(IF(AL39+(AL39*$AL$11)=0,"",AL39+(AL39*$AL$11)),"")</f>
        <v/>
      </c>
      <c r="E39" s="323">
        <f>IFERROR(IF(AM39+(AM39*$AL$11)=0,"",AM39+(AM39*$AL$11)),"")</f>
        <v/>
      </c>
      <c r="F39" s="323">
        <f>IFERROR(IF(AN39+(AN39*$AL$11)=0,"",AN39+(AN39*$AL$11)),"")</f>
        <v/>
      </c>
      <c r="G39" s="323">
        <f>IFERROR(IF(AO39+(AO39*$AL$11)=0,"",AO39+(AO39*$AL$11)),"")</f>
        <v/>
      </c>
      <c r="H39" s="323">
        <f>IFERROR(IF(AP39+(AP39*$AL$11)=0,"",AP39+(AP39*$AL$11)),"")</f>
        <v/>
      </c>
      <c r="I39" s="323">
        <f>IFERROR(IF(AQ39+(AQ39*$AL$11)=0,"",AQ39+(AQ39*$AL$11)),"")</f>
        <v/>
      </c>
      <c r="J39" s="323">
        <f>IFERROR(IF(AR39+(AR39*$AL$11)=0,"",AR39+(AR39*$AL$11)),"")</f>
        <v/>
      </c>
      <c r="K39" s="323">
        <f>IFERROR(IF(AS39+(AS39*$AL$11)=0,"",AS39+(AS39*$AL$11)),"")</f>
        <v/>
      </c>
      <c r="L39" s="323">
        <f>IFERROR(IF(AT39+(AT39*$AL$11)=0,"",AT39+(AT39*$AL$11)),"")</f>
        <v/>
      </c>
      <c r="M39" s="323">
        <f>IFERROR(IF(AU39+(AU39*$AL$11)=0,"",AU39+(AU39*$AL$11)),"")</f>
        <v/>
      </c>
      <c r="N39" s="323">
        <f>IFERROR(IF(AV39+(AV39*$AL$11)=0,"",AV39+(AV39*$AL$11)),"")</f>
        <v/>
      </c>
      <c r="O39" s="323">
        <f>IFERROR(IF(AW39+(AW39*$AL$11)=0,"",AW39+(AW39*$AL$11)),"")</f>
        <v/>
      </c>
      <c r="P39" s="124" t="n"/>
      <c r="Q39" s="352" t="n">
        <v>650</v>
      </c>
      <c r="R39" s="323" t="n">
        <v>33.3</v>
      </c>
      <c r="S39" s="323" t="n">
        <v>64.41</v>
      </c>
      <c r="U39" s="65" t="n"/>
      <c r="X39" s="363" t="n"/>
      <c r="AJ39" s="91" t="n">
        <v>650</v>
      </c>
      <c r="AK39" s="137" t="n">
        <v>163.0272</v>
      </c>
      <c r="AL39" s="138" t="n">
        <v>182.28</v>
      </c>
      <c r="AM39" s="138" t="n">
        <v>197.8256</v>
      </c>
      <c r="AN39" s="138" t="n">
        <v>222.6</v>
      </c>
      <c r="AO39" s="138" t="n">
        <v>253.3104</v>
      </c>
      <c r="AP39" s="138" t="n">
        <v>287.784</v>
      </c>
      <c r="AQ39" s="138" t="n">
        <v>314.3504</v>
      </c>
      <c r="AR39" s="138" t="inlineStr"/>
      <c r="AS39" s="138" t="inlineStr"/>
      <c r="AT39" s="138" t="inlineStr"/>
      <c r="AU39" s="138" t="inlineStr"/>
      <c r="AV39" s="138" t="inlineStr"/>
      <c r="AW39" s="139" t="inlineStr"/>
    </row>
    <row r="40">
      <c r="B40" s="322" t="n">
        <v>700</v>
      </c>
      <c r="C40" s="323">
        <f>IFERROR(IF(AK40+(AK40*$AL$11)=0,"",AK40+(AK40*$AL$11)),"")</f>
        <v/>
      </c>
      <c r="D40" s="323">
        <f>IFERROR(IF(AL40+(AL40*$AL$11)=0,"",AL40+(AL40*$AL$11)),"")</f>
        <v/>
      </c>
      <c r="E40" s="323">
        <f>IFERROR(IF(AM40+(AM40*$AL$11)=0,"",AM40+(AM40*$AL$11)),"")</f>
        <v/>
      </c>
      <c r="F40" s="323">
        <f>IFERROR(IF(AN40+(AN40*$AL$11)=0,"",AN40+(AN40*$AL$11)),"")</f>
        <v/>
      </c>
      <c r="G40" s="323">
        <f>IFERROR(IF(AO40+(AO40*$AL$11)=0,"",AO40+(AO40*$AL$11)),"")</f>
        <v/>
      </c>
      <c r="H40" s="323">
        <f>IFERROR(IF(AP40+(AP40*$AL$11)=0,"",AP40+(AP40*$AL$11)),"")</f>
        <v/>
      </c>
      <c r="I40" s="323">
        <f>IFERROR(IF(AQ40+(AQ40*$AL$11)=0,"",AQ40+(AQ40*$AL$11)),"")</f>
        <v/>
      </c>
      <c r="J40" s="323">
        <f>IFERROR(IF(AR40+(AR40*$AL$11)=0,"",AR40+(AR40*$AL$11)),"")</f>
        <v/>
      </c>
      <c r="K40" s="323">
        <f>IFERROR(IF(AS40+(AS40*$AL$11)=0,"",AS40+(AS40*$AL$11)),"")</f>
        <v/>
      </c>
      <c r="L40" s="323">
        <f>IFERROR(IF(AT40+(AT40*$AL$11)=0,"",AT40+(AT40*$AL$11)),"")</f>
        <v/>
      </c>
      <c r="M40" s="323">
        <f>IFERROR(IF(AU40+(AU40*$AL$11)=0,"",AU40+(AU40*$AL$11)),"")</f>
        <v/>
      </c>
      <c r="N40" s="323">
        <f>IFERROR(IF(AV40+(AV40*$AL$11)=0,"",AV40+(AV40*$AL$11)),"")</f>
        <v/>
      </c>
      <c r="O40" s="323">
        <f>IFERROR(IF(AW40+(AW40*$AL$11)=0,"",AW40+(AW40*$AL$11)),"")</f>
        <v/>
      </c>
      <c r="P40" s="124" t="n"/>
      <c r="Q40" s="352" t="n">
        <v>700</v>
      </c>
      <c r="R40" s="323" t="n">
        <v>35.48</v>
      </c>
      <c r="S40" s="323" t="n">
        <v>66.26000000000001</v>
      </c>
      <c r="U40" s="65" t="n"/>
      <c r="W40" t="inlineStr">
        <is>
          <t>Hanger</t>
        </is>
      </c>
      <c r="X40" s="363" t="n">
        <v>24</v>
      </c>
      <c r="AJ40" s="91" t="n">
        <v>700</v>
      </c>
      <c r="AK40" s="137" t="inlineStr"/>
      <c r="AL40" s="138" t="n">
        <v>195.2496</v>
      </c>
      <c r="AM40" s="138" t="n">
        <v>211.7024</v>
      </c>
      <c r="AN40" s="138" t="n">
        <v>238.4256</v>
      </c>
      <c r="AO40" s="138" t="n">
        <v>271.3648</v>
      </c>
      <c r="AP40" s="138" t="n">
        <v>307.8992</v>
      </c>
      <c r="AQ40" s="138" t="n">
        <v>337.2656</v>
      </c>
      <c r="AR40" s="138" t="inlineStr"/>
      <c r="AS40" s="138" t="inlineStr"/>
      <c r="AT40" s="138" t="inlineStr"/>
      <c r="AU40" s="138" t="inlineStr"/>
      <c r="AV40" s="138" t="inlineStr"/>
      <c r="AW40" s="139" t="inlineStr"/>
    </row>
    <row r="41">
      <c r="B41" s="322" t="n">
        <v>750</v>
      </c>
      <c r="C41" s="323">
        <f>IFERROR(IF(AK41+(AK41*$AL$11)=0,"",AK41+(AK41*$AL$11)),"")</f>
        <v/>
      </c>
      <c r="D41" s="323">
        <f>IFERROR(IF(AL41+(AL41*$AL$11)=0,"",AL41+(AL41*$AL$11)),"")</f>
        <v/>
      </c>
      <c r="E41" s="323">
        <f>IFERROR(IF(AM41+(AM41*$AL$11)=0,"",AM41+(AM41*$AL$11)),"")</f>
        <v/>
      </c>
      <c r="F41" s="323">
        <f>IFERROR(IF(AN41+(AN41*$AL$11)=0,"",AN41+(AN41*$AL$11)),"")</f>
        <v/>
      </c>
      <c r="G41" s="323">
        <f>IFERROR(IF(AO41+(AO41*$AL$11)=0,"",AO41+(AO41*$AL$11)),"")</f>
        <v/>
      </c>
      <c r="H41" s="323">
        <f>IFERROR(IF(AP41+(AP41*$AL$11)=0,"",AP41+(AP41*$AL$11)),"")</f>
        <v/>
      </c>
      <c r="I41" s="323">
        <f>IFERROR(IF(AQ41+(AQ41*$AL$11)=0,"",AQ41+(AQ41*$AL$11)),"")</f>
        <v/>
      </c>
      <c r="J41" s="323">
        <f>IFERROR(IF(AR41+(AR41*$AL$11)=0,"",AR41+(AR41*$AL$11)),"")</f>
        <v/>
      </c>
      <c r="K41" s="323">
        <f>IFERROR(IF(AS41+(AS41*$AL$11)=0,"",AS41+(AS41*$AL$11)),"")</f>
        <v/>
      </c>
      <c r="L41" s="323">
        <f>IFERROR(IF(AT41+(AT41*$AL$11)=0,"",AT41+(AT41*$AL$11)),"")</f>
        <v/>
      </c>
      <c r="M41" s="323">
        <f>IFERROR(IF(AU41+(AU41*$AL$11)=0,"",AU41+(AU41*$AL$11)),"")</f>
        <v/>
      </c>
      <c r="N41" s="323">
        <f>IFERROR(IF(AV41+(AV41*$AL$11)=0,"",AV41+(AV41*$AL$11)),"")</f>
        <v/>
      </c>
      <c r="O41" s="323">
        <f>IFERROR(IF(AW41+(AW41*$AL$11)=0,"",AW41+(AW41*$AL$11)),"")</f>
        <v/>
      </c>
      <c r="P41" s="124" t="n"/>
      <c r="Q41" s="352" t="n"/>
      <c r="R41" s="323" t="n"/>
      <c r="S41" s="323" t="n"/>
      <c r="U41" s="65" t="n"/>
      <c r="W41" t="inlineStr">
        <is>
          <t>Bus</t>
        </is>
      </c>
      <c r="X41" s="363" t="n">
        <v>14</v>
      </c>
      <c r="AJ41" s="91" t="n">
        <v>750</v>
      </c>
      <c r="AK41" s="137" t="inlineStr"/>
      <c r="AL41" s="138" t="n">
        <v>208.2304</v>
      </c>
      <c r="AM41" s="138" t="n">
        <v>225.5904</v>
      </c>
      <c r="AN41" s="138" t="n">
        <v>254.2512</v>
      </c>
      <c r="AO41" s="138" t="n">
        <v>289.408</v>
      </c>
      <c r="AP41" s="138" t="n">
        <v>328.0368</v>
      </c>
      <c r="AQ41" s="138" t="n">
        <v>360.1696</v>
      </c>
      <c r="AR41" s="138" t="inlineStr"/>
      <c r="AS41" s="138" t="inlineStr"/>
      <c r="AT41" s="138" t="inlineStr"/>
      <c r="AU41" s="138" t="inlineStr"/>
      <c r="AV41" s="138" t="inlineStr"/>
      <c r="AW41" s="139" t="inlineStr"/>
    </row>
    <row r="42">
      <c r="B42" s="322" t="inlineStr">
        <is>
          <t>600/900</t>
        </is>
      </c>
      <c r="C42" s="323">
        <f>IFERROR(IF(AK42+(AK42*$AL$11)=0,"",AK42+(AK42*$AL$11)),"")</f>
        <v/>
      </c>
      <c r="D42" s="323">
        <f>IFERROR(IF(AL42+(AL42*$AL$11)=0,"",AL42+(AL42*$AL$11)),"")</f>
        <v/>
      </c>
      <c r="E42" s="323">
        <f>IFERROR(IF(AM42+(AM42*$AL$11)=0,"",AM42+(AM42*$AL$11)),"")</f>
        <v/>
      </c>
      <c r="F42" s="323">
        <f>IFERROR(IF(AN42+(AN42*$AL$11)=0,"",AN42+(AN42*$AL$11)),"")</f>
        <v/>
      </c>
      <c r="G42" s="323">
        <f>IFERROR(IF(AO42+(AO42*$AL$11)=0,"",AO42+(AO42*$AL$11)),"")</f>
        <v/>
      </c>
      <c r="H42" s="323">
        <f>IFERROR(IF(AP42+(AP42*$AL$11)=0,"",AP42+(AP42*$AL$11)),"")</f>
        <v/>
      </c>
      <c r="I42" s="323">
        <f>IFERROR(IF(AQ42+(AQ42*$AL$11)=0,"",AQ42+(AQ42*$AL$11)),"")</f>
        <v/>
      </c>
      <c r="J42" s="323">
        <f>IFERROR(IF(AR42+(AR42*$AL$11)=0,"",AR42+(AR42*$AL$11)),"")</f>
        <v/>
      </c>
      <c r="K42" s="323">
        <f>IFERROR(IF(AS42+(AS42*$AL$11)=0,"",AS42+(AS42*$AL$11)),"")</f>
        <v/>
      </c>
      <c r="L42" s="323">
        <f>IFERROR(IF(AT42+(AT42*$AL$11)=0,"",AT42+(AT42*$AL$11)),"")</f>
        <v/>
      </c>
      <c r="M42" s="323">
        <f>IFERROR(IF(AU42+(AU42*$AL$11)=0,"",AU42+(AU42*$AL$11)),"")</f>
        <v/>
      </c>
      <c r="N42" s="323">
        <f>IFERROR(IF(AV42+(AV42*$AL$11)=0,"",AV42+(AV42*$AL$11)),"")</f>
        <v/>
      </c>
      <c r="O42" s="323">
        <f>IFERROR(IF(AW42+(AW42*$AL$11)=0,"",AW42+(AW42*$AL$11)),"")</f>
        <v/>
      </c>
      <c r="P42" s="124" t="n"/>
      <c r="Q42" s="352" t="inlineStr">
        <is>
          <t>600/900</t>
        </is>
      </c>
      <c r="R42" s="323" t="n">
        <v>37.5</v>
      </c>
      <c r="S42" s="323" t="n">
        <v>68.78</v>
      </c>
      <c r="U42" s="65" t="n"/>
      <c r="W42" t="inlineStr">
        <is>
          <t>Brandstof</t>
        </is>
      </c>
      <c r="X42" s="363" t="n"/>
      <c r="AJ42" s="91" t="inlineStr">
        <is>
          <t>600/900</t>
        </is>
      </c>
      <c r="AK42" s="137" t="inlineStr"/>
      <c r="AL42" s="138" t="inlineStr"/>
      <c r="AM42" s="138" t="inlineStr"/>
      <c r="AN42" s="138" t="n">
        <v>256.9616</v>
      </c>
      <c r="AO42" s="138" t="n">
        <v>292.4992</v>
      </c>
      <c r="AP42" s="138" t="n">
        <v>331.5312</v>
      </c>
      <c r="AQ42" s="138" t="n">
        <v>364.0112</v>
      </c>
      <c r="AR42" s="138" t="inlineStr"/>
      <c r="AS42" s="138" t="inlineStr"/>
      <c r="AT42" s="138" t="inlineStr"/>
      <c r="AU42" s="138" t="inlineStr"/>
      <c r="AV42" s="138" t="inlineStr"/>
      <c r="AW42" s="139" t="inlineStr"/>
    </row>
    <row r="43">
      <c r="B43" s="322" t="n">
        <v>758</v>
      </c>
      <c r="C43" s="323">
        <f>IFERROR(IF(AK43+(AK43*$AL$11)=0,"",AK43+(AK43*$AL$11)),"")</f>
        <v/>
      </c>
      <c r="D43" s="323">
        <f>IFERROR(IF(AL43+(AL43*$AL$11)=0,"",AL43+(AL43*$AL$11)),"")</f>
        <v/>
      </c>
      <c r="E43" s="323">
        <f>IFERROR(IF(AM43+(AM43*$AL$11)=0,"",AM43+(AM43*$AL$11)),"")</f>
        <v/>
      </c>
      <c r="F43" s="323">
        <f>IFERROR(IF(AN43+(AN43*$AL$11)=0,"",AN43+(AN43*$AL$11)),"")</f>
        <v/>
      </c>
      <c r="G43" s="323">
        <f>IFERROR(IF(AO43+(AO43*$AL$11)=0,"",AO43+(AO43*$AL$11)),"")</f>
        <v/>
      </c>
      <c r="H43" s="323">
        <f>IFERROR(IF(AP43+(AP43*$AL$11)=0,"",AP43+(AP43*$AL$11)),"")</f>
        <v/>
      </c>
      <c r="I43" s="323">
        <f>IFERROR(IF(AQ43+(AQ43*$AL$11)=0,"",AQ43+(AQ43*$AL$11)),"")</f>
        <v/>
      </c>
      <c r="J43" s="323">
        <f>IFERROR(IF(AR43+(AR43*$AL$11)=0,"",AR43+(AR43*$AL$11)),"")</f>
        <v/>
      </c>
      <c r="K43" s="323">
        <f>IFERROR(IF(AS43+(AS43*$AL$11)=0,"",AS43+(AS43*$AL$11)),"")</f>
        <v/>
      </c>
      <c r="L43" s="323">
        <f>IFERROR(IF(AT43+(AT43*$AL$11)=0,"",AT43+(AT43*$AL$11)),"")</f>
        <v/>
      </c>
      <c r="M43" s="323">
        <f>IFERROR(IF(AU43+(AU43*$AL$11)=0,"",AU43+(AU43*$AL$11)),"")</f>
        <v/>
      </c>
      <c r="N43" s="323">
        <f>IFERROR(IF(AV43+(AV43*$AL$11)=0,"",AV43+(AV43*$AL$11)),"")</f>
        <v/>
      </c>
      <c r="O43" s="323">
        <f>IFERROR(IF(AW43+(AW43*$AL$11)=0,"",AW43+(AW43*$AL$11)),"")</f>
        <v/>
      </c>
      <c r="P43" s="124" t="n"/>
      <c r="Q43" s="352" t="n">
        <v>758</v>
      </c>
      <c r="R43" s="323" t="n">
        <v>37.5</v>
      </c>
      <c r="S43" s="323" t="n">
        <v>68.78</v>
      </c>
      <c r="U43" s="65" t="n"/>
      <c r="X43" s="363" t="n"/>
      <c r="AJ43" s="91" t="n">
        <v>758</v>
      </c>
      <c r="AK43" s="137" t="inlineStr"/>
      <c r="AL43" s="138" t="inlineStr"/>
      <c r="AM43" s="138" t="inlineStr"/>
      <c r="AN43" s="138" t="n">
        <v>256.9616</v>
      </c>
      <c r="AO43" s="138" t="n">
        <v>292.4992</v>
      </c>
      <c r="AP43" s="138" t="n">
        <v>331.5312</v>
      </c>
      <c r="AQ43" s="138" t="n">
        <v>364.0112</v>
      </c>
      <c r="AR43" s="138" t="inlineStr"/>
      <c r="AS43" s="138" t="inlineStr"/>
      <c r="AT43" s="138" t="inlineStr"/>
      <c r="AU43" s="138" t="inlineStr"/>
      <c r="AV43" s="138" t="inlineStr"/>
      <c r="AW43" s="139" t="inlineStr"/>
    </row>
    <row r="44">
      <c r="B44" s="322" t="n">
        <v>800</v>
      </c>
      <c r="C44" s="323">
        <f>IFERROR(IF(AK44+(AK44*$AL$11)=0,"",AK44+(AK44*$AL$11)),"")</f>
        <v/>
      </c>
      <c r="D44" s="323">
        <f>IFERROR(IF(AL44+(AL44*$AL$11)=0,"",AL44+(AL44*$AL$11)),"")</f>
        <v/>
      </c>
      <c r="E44" s="323">
        <f>IFERROR(IF(AM44+(AM44*$AL$11)=0,"",AM44+(AM44*$AL$11)),"")</f>
        <v/>
      </c>
      <c r="F44" s="323">
        <f>IFERROR(IF(AN44+(AN44*$AL$11)=0,"",AN44+(AN44*$AL$11)),"")</f>
        <v/>
      </c>
      <c r="G44" s="323">
        <f>IFERROR(IF(AO44+(AO44*$AL$11)=0,"",AO44+(AO44*$AL$11)),"")</f>
        <v/>
      </c>
      <c r="H44" s="323">
        <f>IFERROR(IF(AP44+(AP44*$AL$11)=0,"",AP44+(AP44*$AL$11)),"")</f>
        <v/>
      </c>
      <c r="I44" s="323">
        <f>IFERROR(IF(AQ44+(AQ44*$AL$11)=0,"",AQ44+(AQ44*$AL$11)),"")</f>
        <v/>
      </c>
      <c r="J44" s="323">
        <f>IFERROR(IF(AR44+(AR44*$AL$11)=0,"",AR44+(AR44*$AL$11)),"")</f>
        <v/>
      </c>
      <c r="K44" s="323">
        <f>IFERROR(IF(AS44+(AS44*$AL$11)=0,"",AS44+(AS44*$AL$11)),"")</f>
        <v/>
      </c>
      <c r="L44" s="323">
        <f>IFERROR(IF(AT44+(AT44*$AL$11)=0,"",AT44+(AT44*$AL$11)),"")</f>
        <v/>
      </c>
      <c r="M44" s="323">
        <f>IFERROR(IF(AU44+(AU44*$AL$11)=0,"",AU44+(AU44*$AL$11)),"")</f>
        <v/>
      </c>
      <c r="N44" s="323">
        <f>IFERROR(IF(AV44+(AV44*$AL$11)=0,"",AV44+(AV44*$AL$11)),"")</f>
        <v/>
      </c>
      <c r="O44" s="323">
        <f>IFERROR(IF(AW44+(AW44*$AL$11)=0,"",AW44+(AW44*$AL$11)),"")</f>
        <v/>
      </c>
      <c r="P44" s="124" t="n"/>
      <c r="Q44" s="352" t="n">
        <v>800</v>
      </c>
      <c r="R44" s="323" t="n">
        <v>39.75</v>
      </c>
      <c r="S44" s="323" t="n">
        <v>71.3</v>
      </c>
      <c r="U44" s="65" t="n"/>
      <c r="W44" t="inlineStr">
        <is>
          <t>Water hanger</t>
        </is>
      </c>
      <c r="X44" s="364" t="n"/>
      <c r="AJ44" s="91" t="n">
        <v>800</v>
      </c>
      <c r="AK44" s="137" t="inlineStr"/>
      <c r="AL44" s="138" t="n">
        <v>221.2112</v>
      </c>
      <c r="AM44" s="138" t="n">
        <v>239.4672</v>
      </c>
      <c r="AN44" s="138" t="n">
        <v>270.0768</v>
      </c>
      <c r="AO44" s="138" t="n">
        <v>307.4512</v>
      </c>
      <c r="AP44" s="138" t="n">
        <v>348.1632</v>
      </c>
      <c r="AQ44" s="138" t="n">
        <v>383.0735999999999</v>
      </c>
      <c r="AR44" s="138" t="inlineStr"/>
      <c r="AS44" s="138" t="inlineStr"/>
      <c r="AT44" s="138" t="inlineStr"/>
      <c r="AU44" s="138" t="inlineStr"/>
      <c r="AV44" s="138" t="inlineStr"/>
      <c r="AW44" s="139" t="inlineStr"/>
    </row>
    <row r="45">
      <c r="B45" s="322" t="n">
        <v>850</v>
      </c>
      <c r="C45" s="323">
        <f>IFERROR(IF(AK45+(AK45*$AL$11)=0,"",AK45+(AK45*$AL$11)),"")</f>
        <v/>
      </c>
      <c r="D45" s="323">
        <f>IFERROR(IF(AL45+(AL45*$AL$11)=0,"",AL45+(AL45*$AL$11)),"")</f>
        <v/>
      </c>
      <c r="E45" s="323">
        <f>IFERROR(IF(AM45+(AM45*$AL$11)=0,"",AM45+(AM45*$AL$11)),"")</f>
        <v/>
      </c>
      <c r="F45" s="323">
        <f>IFERROR(IF(AN45+(AN45*$AL$11)=0,"",AN45+(AN45*$AL$11)),"")</f>
        <v/>
      </c>
      <c r="G45" s="323">
        <f>IFERROR(IF(AO45+(AO45*$AL$11)=0,"",AO45+(AO45*$AL$11)),"")</f>
        <v/>
      </c>
      <c r="H45" s="323">
        <f>IFERROR(IF(AP45+(AP45*$AL$11)=0,"",AP45+(AP45*$AL$11)),"")</f>
        <v/>
      </c>
      <c r="I45" s="323">
        <f>IFERROR(IF(AQ45+(AQ45*$AL$11)=0,"",AQ45+(AQ45*$AL$11)),"")</f>
        <v/>
      </c>
      <c r="J45" s="323">
        <f>IFERROR(IF(AR45+(AR45*$AL$11)=0,"",AR45+(AR45*$AL$11)),"")</f>
        <v/>
      </c>
      <c r="K45" s="323">
        <f>IFERROR(IF(AS45+(AS45*$AL$11)=0,"",AS45+(AS45*$AL$11)),"")</f>
        <v/>
      </c>
      <c r="L45" s="323">
        <f>IFERROR(IF(AT45+(AT45*$AL$11)=0,"",AT45+(AT45*$AL$11)),"")</f>
        <v/>
      </c>
      <c r="M45" s="323">
        <f>IFERROR(IF(AU45+(AU45*$AL$11)=0,"",AU45+(AU45*$AL$11)),"")</f>
        <v/>
      </c>
      <c r="N45" s="323">
        <f>IFERROR(IF(AV45+(AV45*$AL$11)=0,"",AV45+(AV45*$AL$11)),"")</f>
        <v/>
      </c>
      <c r="O45" s="323">
        <f>IFERROR(IF(AW45+(AW45*$AL$11)=0,"",AW45+(AW45*$AL$11)),"")</f>
        <v/>
      </c>
      <c r="P45" s="124" t="n"/>
      <c r="Q45" s="352" t="n"/>
      <c r="R45" s="323" t="n"/>
      <c r="S45" s="323" t="n"/>
      <c r="U45" s="65" t="n"/>
      <c r="X45" s="365">
        <f>SUM(X37:X44)</f>
        <v/>
      </c>
      <c r="AJ45" s="91" t="n">
        <v>850</v>
      </c>
      <c r="AK45" s="137" t="inlineStr"/>
      <c r="AL45" s="138" t="n">
        <v>239.2544</v>
      </c>
      <c r="AM45" s="138" t="n">
        <v>257.5104</v>
      </c>
      <c r="AN45" s="138" t="n">
        <v>290.8976</v>
      </c>
      <c r="AO45" s="138" t="n">
        <v>331.7551999999999</v>
      </c>
      <c r="AP45" s="138" t="n">
        <v>373.8448</v>
      </c>
      <c r="AQ45" s="138" t="n">
        <v>409.4496</v>
      </c>
      <c r="AR45" s="138" t="n">
        <v>460.0512</v>
      </c>
      <c r="AS45" s="138" t="inlineStr"/>
      <c r="AT45" s="138" t="inlineStr"/>
      <c r="AU45" s="138" t="inlineStr"/>
      <c r="AV45" s="138" t="inlineStr"/>
      <c r="AW45" s="139" t="inlineStr"/>
    </row>
    <row r="46">
      <c r="B46" s="322" t="inlineStr">
        <is>
          <t>700/1050</t>
        </is>
      </c>
      <c r="C46" s="323">
        <f>IFERROR(IF(AK46+(AK46*$AL$11)=0,"",AK46+(AK46*$AL$11)),"")</f>
        <v/>
      </c>
      <c r="D46" s="323">
        <f>IFERROR(IF(AL46+(AL46*$AL$11)=0,"",AL46+(AL46*$AL$11)),"")</f>
        <v/>
      </c>
      <c r="E46" s="323">
        <f>IFERROR(IF(AM46+(AM46*$AL$11)=0,"",AM46+(AM46*$AL$11)),"")</f>
        <v/>
      </c>
      <c r="F46" s="323">
        <f>IFERROR(IF(AN46+(AN46*$AL$11)=0,"",AN46+(AN46*$AL$11)),"")</f>
        <v/>
      </c>
      <c r="G46" s="323">
        <f>IFERROR(IF(AO46+(AO46*$AL$11)=0,"",AO46+(AO46*$AL$11)),"")</f>
        <v/>
      </c>
      <c r="H46" s="323">
        <f>IFERROR(IF(AP46+(AP46*$AL$11)=0,"",AP46+(AP46*$AL$11)),"")</f>
        <v/>
      </c>
      <c r="I46" s="323">
        <f>IFERROR(IF(AQ46+(AQ46*$AL$11)=0,"",AQ46+(AQ46*$AL$11)),"")</f>
        <v/>
      </c>
      <c r="J46" s="323">
        <f>IFERROR(IF(AR46+(AR46*$AL$11)=0,"",AR46+(AR46*$AL$11)),"")</f>
        <v/>
      </c>
      <c r="K46" s="323">
        <f>IFERROR(IF(AS46+(AS46*$AL$11)=0,"",AS46+(AS46*$AL$11)),"")</f>
        <v/>
      </c>
      <c r="L46" s="323">
        <f>IFERROR(IF(AT46+(AT46*$AL$11)=0,"",AT46+(AT46*$AL$11)),"")</f>
        <v/>
      </c>
      <c r="M46" s="323">
        <f>IFERROR(IF(AU46+(AU46*$AL$11)=0,"",AU46+(AU46*$AL$11)),"")</f>
        <v/>
      </c>
      <c r="N46" s="323">
        <f>IFERROR(IF(AV46+(AV46*$AL$11)=0,"",AV46+(AV46*$AL$11)),"")</f>
        <v/>
      </c>
      <c r="O46" s="323">
        <f>IFERROR(IF(AW46+(AW46*$AL$11)=0,"",AW46+(AW46*$AL$11)),"")</f>
        <v/>
      </c>
      <c r="P46" s="124" t="n"/>
      <c r="Q46" s="352" t="inlineStr">
        <is>
          <t>700/1050</t>
        </is>
      </c>
      <c r="R46" s="323" t="n">
        <v>43.05</v>
      </c>
      <c r="S46" s="323" t="n">
        <v>73.29000000000001</v>
      </c>
      <c r="U46" s="65" t="n"/>
      <c r="AJ46" s="91" t="inlineStr">
        <is>
          <t>700/1050</t>
        </is>
      </c>
      <c r="AK46" s="137" t="inlineStr"/>
      <c r="AL46" s="138" t="inlineStr"/>
      <c r="AM46" s="138" t="inlineStr"/>
      <c r="AN46" s="138" t="n">
        <v>305.8384</v>
      </c>
      <c r="AO46" s="138" t="n">
        <v>349.328</v>
      </c>
      <c r="AP46" s="138" t="n">
        <v>391.9776</v>
      </c>
      <c r="AQ46" s="138" t="n">
        <v>427.5936</v>
      </c>
      <c r="AR46" s="138" t="n">
        <v>477.232</v>
      </c>
      <c r="AS46" s="138" t="inlineStr"/>
      <c r="AT46" s="138" t="inlineStr"/>
      <c r="AU46" s="138" t="inlineStr"/>
      <c r="AV46" s="138" t="inlineStr"/>
      <c r="AW46" s="139" t="inlineStr"/>
    </row>
    <row r="47">
      <c r="B47" s="322" t="n">
        <v>883</v>
      </c>
      <c r="C47" s="323">
        <f>IFERROR(IF(AK47+(AK47*$AL$11)=0,"",AK47+(AK47*$AL$11)),"")</f>
        <v/>
      </c>
      <c r="D47" s="323">
        <f>IFERROR(IF(AL47+(AL47*$AL$11)=0,"",AL47+(AL47*$AL$11)),"")</f>
        <v/>
      </c>
      <c r="E47" s="323">
        <f>IFERROR(IF(AM47+(AM47*$AL$11)=0,"",AM47+(AM47*$AL$11)),"")</f>
        <v/>
      </c>
      <c r="F47" s="323">
        <f>IFERROR(IF(AN47+(AN47*$AL$11)=0,"",AN47+(AN47*$AL$11)),"")</f>
        <v/>
      </c>
      <c r="G47" s="323">
        <f>IFERROR(IF(AO47+(AO47*$AL$11)=0,"",AO47+(AO47*$AL$11)),"")</f>
        <v/>
      </c>
      <c r="H47" s="323">
        <f>IFERROR(IF(AP47+(AP47*$AL$11)=0,"",AP47+(AP47*$AL$11)),"")</f>
        <v/>
      </c>
      <c r="I47" s="323">
        <f>IFERROR(IF(AQ47+(AQ47*$AL$11)=0,"",AQ47+(AQ47*$AL$11)),"")</f>
        <v/>
      </c>
      <c r="J47" s="323">
        <f>IFERROR(IF(AR47+(AR47*$AL$11)=0,"",AR47+(AR47*$AL$11)),"")</f>
        <v/>
      </c>
      <c r="K47" s="323">
        <f>IFERROR(IF(AS47+(AS47*$AL$11)=0,"",AS47+(AS47*$AL$11)),"")</f>
        <v/>
      </c>
      <c r="L47" s="323">
        <f>IFERROR(IF(AT47+(AT47*$AL$11)=0,"",AT47+(AT47*$AL$11)),"")</f>
        <v/>
      </c>
      <c r="M47" s="323">
        <f>IFERROR(IF(AU47+(AU47*$AL$11)=0,"",AU47+(AU47*$AL$11)),"")</f>
        <v/>
      </c>
      <c r="N47" s="323">
        <f>IFERROR(IF(AV47+(AV47*$AL$11)=0,"",AV47+(AV47*$AL$11)),"")</f>
        <v/>
      </c>
      <c r="O47" s="323">
        <f>IFERROR(IF(AW47+(AW47*$AL$11)=0,"",AW47+(AW47*$AL$11)),"")</f>
        <v/>
      </c>
      <c r="P47" s="124" t="n"/>
      <c r="Q47" s="352" t="n">
        <v>883</v>
      </c>
      <c r="R47" s="323" t="n">
        <v>43.05</v>
      </c>
      <c r="S47" s="323" t="n">
        <v>73.29000000000001</v>
      </c>
      <c r="U47" s="65" t="n"/>
      <c r="AJ47" s="91" t="n">
        <v>883</v>
      </c>
      <c r="AK47" s="137" t="inlineStr"/>
      <c r="AL47" s="138" t="inlineStr"/>
      <c r="AM47" s="138" t="inlineStr"/>
      <c r="AN47" s="138" t="n">
        <v>305.8384</v>
      </c>
      <c r="AO47" s="138" t="n">
        <v>349.328</v>
      </c>
      <c r="AP47" s="138" t="n">
        <v>391.9776</v>
      </c>
      <c r="AQ47" s="138" t="n">
        <v>427.5936</v>
      </c>
      <c r="AR47" s="138" t="n">
        <v>477.232</v>
      </c>
      <c r="AS47" s="138" t="inlineStr"/>
      <c r="AT47" s="138" t="inlineStr"/>
      <c r="AU47" s="138" t="inlineStr"/>
      <c r="AV47" s="138" t="inlineStr"/>
      <c r="AW47" s="139" t="inlineStr"/>
    </row>
    <row r="48">
      <c r="B48" s="322" t="n">
        <v>900</v>
      </c>
      <c r="C48" s="323">
        <f>IFERROR(IF(AK48+(AK48*$AL$11)=0,"",AK48+(AK48*$AL$11)),"")</f>
        <v/>
      </c>
      <c r="D48" s="323">
        <f>IFERROR(IF(AL48+(AL48*$AL$11)=0,"",AL48+(AL48*$AL$11)),"")</f>
        <v/>
      </c>
      <c r="E48" s="323">
        <f>IFERROR(IF(AM48+(AM48*$AL$11)=0,"",AM48+(AM48*$AL$11)),"")</f>
        <v/>
      </c>
      <c r="F48" s="323">
        <f>IFERROR(IF(AN48+(AN48*$AL$11)=0,"",AN48+(AN48*$AL$11)),"")</f>
        <v/>
      </c>
      <c r="G48" s="323">
        <f>IFERROR(IF(AO48+(AO48*$AL$11)=0,"",AO48+(AO48*$AL$11)),"")</f>
        <v/>
      </c>
      <c r="H48" s="323">
        <f>IFERROR(IF(AP48+(AP48*$AL$11)=0,"",AP48+(AP48*$AL$11)),"")</f>
        <v/>
      </c>
      <c r="I48" s="323">
        <f>IFERROR(IF(AQ48+(AQ48*$AL$11)=0,"",AQ48+(AQ48*$AL$11)),"")</f>
        <v/>
      </c>
      <c r="J48" s="323">
        <f>IFERROR(IF(AR48+(AR48*$AL$11)=0,"",AR48+(AR48*$AL$11)),"")</f>
        <v/>
      </c>
      <c r="K48" s="323">
        <f>IFERROR(IF(AS48+(AS48*$AL$11)=0,"",AS48+(AS48*$AL$11)),"")</f>
        <v/>
      </c>
      <c r="L48" s="323">
        <f>IFERROR(IF(AT48+(AT48*$AL$11)=0,"",AT48+(AT48*$AL$11)),"")</f>
        <v/>
      </c>
      <c r="M48" s="323">
        <f>IFERROR(IF(AU48+(AU48*$AL$11)=0,"",AU48+(AU48*$AL$11)),"")</f>
        <v/>
      </c>
      <c r="N48" s="323">
        <f>IFERROR(IF(AV48+(AV48*$AL$11)=0,"",AV48+(AV48*$AL$11)),"")</f>
        <v/>
      </c>
      <c r="O48" s="323">
        <f>IFERROR(IF(AW48+(AW48*$AL$11)=0,"",AW48+(AW48*$AL$11)),"")</f>
        <v/>
      </c>
      <c r="P48" s="124" t="n"/>
      <c r="Q48" s="352" t="n">
        <v>900</v>
      </c>
      <c r="R48" s="323" t="n">
        <v>46.35</v>
      </c>
      <c r="S48" s="323" t="n">
        <v>78.8</v>
      </c>
      <c r="U48" s="65" t="n"/>
      <c r="AJ48" s="91" t="n">
        <v>900</v>
      </c>
      <c r="AK48" s="137" t="inlineStr"/>
      <c r="AL48" s="138" t="inlineStr"/>
      <c r="AM48" s="138" t="n">
        <v>275.5648</v>
      </c>
      <c r="AN48" s="138" t="n">
        <v>311.7184</v>
      </c>
      <c r="AO48" s="138" t="n">
        <v>356.0368</v>
      </c>
      <c r="AP48" s="138" t="n">
        <v>399.5264</v>
      </c>
      <c r="AQ48" s="138" t="n">
        <v>435.8256</v>
      </c>
      <c r="AR48" s="138" t="n">
        <v>486.4272</v>
      </c>
      <c r="AS48" s="138" t="n">
        <v>540.0079999999999</v>
      </c>
      <c r="AT48" s="138" t="n">
        <v>593.6896</v>
      </c>
      <c r="AU48" s="138" t="inlineStr"/>
      <c r="AV48" s="138" t="inlineStr"/>
      <c r="AW48" s="139" t="inlineStr"/>
    </row>
    <row r="49">
      <c r="B49" s="322" t="n">
        <v>950</v>
      </c>
      <c r="C49" s="323">
        <f>IFERROR(IF(AK49+(AK49*$AL$11)=0,"",AK49+(AK49*$AL$11)),"")</f>
        <v/>
      </c>
      <c r="D49" s="323">
        <f>IFERROR(IF(AL49+(AL49*$AL$11)=0,"",AL49+(AL49*$AL$11)),"")</f>
        <v/>
      </c>
      <c r="E49" s="323">
        <f>IFERROR(IF(AM49+(AM49*$AL$11)=0,"",AM49+(AM49*$AL$11)),"")</f>
        <v/>
      </c>
      <c r="F49" s="323">
        <f>IFERROR(IF(AN49+(AN49*$AL$11)=0,"",AN49+(AN49*$AL$11)),"")</f>
        <v/>
      </c>
      <c r="G49" s="323">
        <f>IFERROR(IF(AO49+(AO49*$AL$11)=0,"",AO49+(AO49*$AL$11)),"")</f>
        <v/>
      </c>
      <c r="H49" s="323">
        <f>IFERROR(IF(AP49+(AP49*$AL$11)=0,"",AP49+(AP49*$AL$11)),"")</f>
        <v/>
      </c>
      <c r="I49" s="323">
        <f>IFERROR(IF(AQ49+(AQ49*$AL$11)=0,"",AQ49+(AQ49*$AL$11)),"")</f>
        <v/>
      </c>
      <c r="J49" s="323">
        <f>IFERROR(IF(AR49+(AR49*$AL$11)=0,"",AR49+(AR49*$AL$11)),"")</f>
        <v/>
      </c>
      <c r="K49" s="323">
        <f>IFERROR(IF(AS49+(AS49*$AL$11)=0,"",AS49+(AS49*$AL$11)),"")</f>
        <v/>
      </c>
      <c r="L49" s="323">
        <f>IFERROR(IF(AT49+(AT49*$AL$11)=0,"",AT49+(AT49*$AL$11)),"")</f>
        <v/>
      </c>
      <c r="M49" s="323">
        <f>IFERROR(IF(AU49+(AU49*$AL$11)=0,"",AU49+(AU49*$AL$11)),"")</f>
        <v/>
      </c>
      <c r="N49" s="323">
        <f>IFERROR(IF(AV49+(AV49*$AL$11)=0,"",AV49+(AV49*$AL$11)),"")</f>
        <v/>
      </c>
      <c r="O49" s="323">
        <f>IFERROR(IF(AW49+(AW49*$AL$11)=0,"",AW49+(AW49*$AL$11)),"")</f>
        <v/>
      </c>
      <c r="P49" s="124" t="n"/>
      <c r="Q49" s="352" t="n"/>
      <c r="R49" s="323" t="n"/>
      <c r="S49" s="323" t="n"/>
      <c r="U49" s="65" t="n"/>
      <c r="X49" s="363" t="n"/>
      <c r="AJ49" s="91" t="n">
        <v>950</v>
      </c>
      <c r="AK49" s="137" t="inlineStr"/>
      <c r="AL49" s="138" t="inlineStr"/>
      <c r="AM49" s="138" t="n">
        <v>293.6079999999999</v>
      </c>
      <c r="AN49" s="138" t="n">
        <v>332.5504</v>
      </c>
      <c r="AO49" s="138" t="n">
        <v>380.3407999999999</v>
      </c>
      <c r="AP49" s="138" t="n">
        <v>425.208</v>
      </c>
      <c r="AQ49" s="138" t="n">
        <v>462.2016</v>
      </c>
      <c r="AR49" s="138" t="n">
        <v>512.8032000000001</v>
      </c>
      <c r="AS49" s="138" t="n">
        <v>566.384</v>
      </c>
      <c r="AT49" s="138" t="n">
        <v>624.2208000000001</v>
      </c>
      <c r="AU49" s="138" t="inlineStr"/>
      <c r="AV49" s="138" t="inlineStr"/>
      <c r="AW49" s="139" t="inlineStr"/>
    </row>
    <row r="50">
      <c r="B50" s="322" t="n">
        <v>1000</v>
      </c>
      <c r="C50" s="323">
        <f>IFERROR(IF(AK50+(AK50*$AL$11)=0,"",AK50+(AK50*$AL$11)),"")</f>
        <v/>
      </c>
      <c r="D50" s="323">
        <f>IFERROR(IF(AL50+(AL50*$AL$11)=0,"",AL50+(AL50*$AL$11)),"")</f>
        <v/>
      </c>
      <c r="E50" s="323">
        <f>IFERROR(IF(AM50+(AM50*$AL$11)=0,"",AM50+(AM50*$AL$11)),"")</f>
        <v/>
      </c>
      <c r="F50" s="323">
        <f>IFERROR(IF(AN50+(AN50*$AL$11)=0,"",AN50+(AN50*$AL$11)),"")</f>
        <v/>
      </c>
      <c r="G50" s="323">
        <f>IFERROR(IF(AO50+(AO50*$AL$11)=0,"",AO50+(AO50*$AL$11)),"")</f>
        <v/>
      </c>
      <c r="H50" s="323">
        <f>IFERROR(IF(AP50+(AP50*$AL$11)=0,"",AP50+(AP50*$AL$11)),"")</f>
        <v/>
      </c>
      <c r="I50" s="323">
        <f>IFERROR(IF(AQ50+(AQ50*$AL$11)=0,"",AQ50+(AQ50*$AL$11)),"")</f>
        <v/>
      </c>
      <c r="J50" s="323">
        <f>IFERROR(IF(AR50+(AR50*$AL$11)=0,"",AR50+(AR50*$AL$11)),"")</f>
        <v/>
      </c>
      <c r="K50" s="323">
        <f>IFERROR(IF(AS50+(AS50*$AL$11)=0,"",AS50+(AS50*$AL$11)),"")</f>
        <v/>
      </c>
      <c r="L50" s="323">
        <f>IFERROR(IF(AT50+(AT50*$AL$11)=0,"",AT50+(AT50*$AL$11)),"")</f>
        <v/>
      </c>
      <c r="M50" s="323">
        <f>IFERROR(IF(AU50+(AU50*$AL$11)=0,"",AU50+(AU50*$AL$11)),"")</f>
        <v/>
      </c>
      <c r="N50" s="323">
        <f>IFERROR(IF(AV50+(AV50*$AL$11)=0,"",AV50+(AV50*$AL$11)),"")</f>
        <v/>
      </c>
      <c r="O50" s="323">
        <f>IFERROR(IF(AW50+(AW50*$AL$11)=0,"",AW50+(AW50*$AL$11)),"")</f>
        <v/>
      </c>
      <c r="P50" s="124" t="n"/>
      <c r="Q50" s="352" t="n">
        <v>100</v>
      </c>
      <c r="R50" s="323" t="n">
        <v>48.23</v>
      </c>
      <c r="S50" s="323" t="n">
        <v>78.87</v>
      </c>
      <c r="U50" s="65" t="n"/>
      <c r="AJ50" s="91" t="n">
        <v>1000</v>
      </c>
      <c r="AK50" s="137" t="inlineStr"/>
      <c r="AL50" s="138" t="inlineStr"/>
      <c r="AM50" s="138" t="n">
        <v>308.7728</v>
      </c>
      <c r="AN50" s="138" t="n">
        <v>350.1008</v>
      </c>
      <c r="AO50" s="138" t="n">
        <v>400.8816</v>
      </c>
      <c r="AP50" s="138" t="n">
        <v>446.712</v>
      </c>
      <c r="AQ50" s="138" t="n">
        <v>484.0528</v>
      </c>
      <c r="AR50" s="138" t="n">
        <v>534.184</v>
      </c>
      <c r="AS50" s="138" t="n">
        <v>587.272</v>
      </c>
      <c r="AT50" s="138" t="n">
        <v>648.7040000000001</v>
      </c>
      <c r="AU50" s="138" t="inlineStr"/>
      <c r="AV50" s="138" t="inlineStr"/>
      <c r="AW50" s="139" t="inlineStr"/>
    </row>
    <row r="51">
      <c r="B51" s="322" t="inlineStr">
        <is>
          <t>800/1200</t>
        </is>
      </c>
      <c r="C51" s="323">
        <f>IFERROR(IF(AK51+(AK51*$AL$11)=0,"",AK51+(AK51*$AL$11)),"")</f>
        <v/>
      </c>
      <c r="D51" s="323">
        <f>IFERROR(IF(AL51+(AL51*$AL$11)=0,"",AL51+(AL51*$AL$11)),"")</f>
        <v/>
      </c>
      <c r="E51" s="323">
        <f>IFERROR(IF(AM51+(AM51*$AL$11)=0,"",AM51+(AM51*$AL$11)),"")</f>
        <v/>
      </c>
      <c r="F51" s="323">
        <f>IFERROR(IF(AN51+(AN51*$AL$11)=0,"",AN51+(AN51*$AL$11)),"")</f>
        <v/>
      </c>
      <c r="G51" s="323">
        <f>IFERROR(IF(AO51+(AO51*$AL$11)=0,"",AO51+(AO51*$AL$11)),"")</f>
        <v/>
      </c>
      <c r="H51" s="323">
        <f>IFERROR(IF(AP51+(AP51*$AL$11)=0,"",AP51+(AP51*$AL$11)),"")</f>
        <v/>
      </c>
      <c r="I51" s="323">
        <f>IFERROR(IF(AQ51+(AQ51*$AL$11)=0,"",AQ51+(AQ51*$AL$11)),"")</f>
        <v/>
      </c>
      <c r="J51" s="323">
        <f>IFERROR(IF(AR51+(AR51*$AL$11)=0,"",AR51+(AR51*$AL$11)),"")</f>
        <v/>
      </c>
      <c r="K51" s="323">
        <f>IFERROR(IF(AS51+(AS51*$AL$11)=0,"",AS51+(AS51*$AL$11)),"")</f>
        <v/>
      </c>
      <c r="L51" s="323">
        <f>IFERROR(IF(AT51+(AT51*$AL$11)=0,"",AT51+(AT51*$AL$11)),"")</f>
        <v/>
      </c>
      <c r="M51" s="323">
        <f>IFERROR(IF(AU51+(AU51*$AL$11)=0,"",AU51+(AU51*$AL$11)),"")</f>
        <v/>
      </c>
      <c r="N51" s="323">
        <f>IFERROR(IF(AV51+(AV51*$AL$11)=0,"",AV51+(AV51*$AL$11)),"")</f>
        <v/>
      </c>
      <c r="O51" s="323">
        <f>IFERROR(IF(AW51+(AW51*$AL$11)=0,"",AW51+(AW51*$AL$11)),"")</f>
        <v/>
      </c>
      <c r="P51" s="124" t="n"/>
      <c r="Q51" s="352" t="inlineStr">
        <is>
          <t>800/1200</t>
        </is>
      </c>
      <c r="R51" s="323" t="n">
        <v>48.23</v>
      </c>
      <c r="S51" s="323" t="n">
        <v>78.87</v>
      </c>
      <c r="U51" s="65" t="n"/>
      <c r="AJ51" s="91" t="inlineStr">
        <is>
          <t>800/1200</t>
        </is>
      </c>
      <c r="AK51" s="137" t="inlineStr"/>
      <c r="AL51" s="138" t="inlineStr"/>
      <c r="AM51" s="138" t="inlineStr"/>
      <c r="AN51" s="138" t="inlineStr"/>
      <c r="AO51" s="138" t="inlineStr"/>
      <c r="AP51" s="138" t="n">
        <v>451.1808</v>
      </c>
      <c r="AQ51" s="138" t="n">
        <v>488.8912</v>
      </c>
      <c r="AR51" s="138" t="n">
        <v>539.5264000000001</v>
      </c>
      <c r="AS51" s="138" t="n">
        <v>593.1408</v>
      </c>
      <c r="AT51" s="138" t="n">
        <v>655.1888</v>
      </c>
      <c r="AU51" s="138" t="inlineStr"/>
      <c r="AV51" s="138" t="inlineStr"/>
      <c r="AW51" s="139" t="inlineStr"/>
    </row>
    <row r="52">
      <c r="B52" s="322" t="n">
        <v>1010</v>
      </c>
      <c r="C52" s="323">
        <f>IFERROR(IF(AK52+(AK52*$AL$11)=0,"",AK52+(AK52*$AL$11)),"")</f>
        <v/>
      </c>
      <c r="D52" s="323">
        <f>IFERROR(IF(AL52+(AL52*$AL$11)=0,"",AL52+(AL52*$AL$11)),"")</f>
        <v/>
      </c>
      <c r="E52" s="323">
        <f>IFERROR(IF(AM52+(AM52*$AL$11)=0,"",AM52+(AM52*$AL$11)),"")</f>
        <v/>
      </c>
      <c r="F52" s="323">
        <f>IFERROR(IF(AN52+(AN52*$AL$11)=0,"",AN52+(AN52*$AL$11)),"")</f>
        <v/>
      </c>
      <c r="G52" s="323">
        <f>IFERROR(IF(AO52+(AO52*$AL$11)=0,"",AO52+(AO52*$AL$11)),"")</f>
        <v/>
      </c>
      <c r="H52" s="323">
        <f>IFERROR(IF(AP52+(AP52*$AL$11)=0,"",AP52+(AP52*$AL$11)),"")</f>
        <v/>
      </c>
      <c r="I52" s="323">
        <f>IFERROR(IF(AQ52+(AQ52*$AL$11)=0,"",AQ52+(AQ52*$AL$11)),"")</f>
        <v/>
      </c>
      <c r="J52" s="323">
        <f>IFERROR(IF(AR52+(AR52*$AL$11)=0,"",AR52+(AR52*$AL$11)),"")</f>
        <v/>
      </c>
      <c r="K52" s="323">
        <f>IFERROR(IF(AS52+(AS52*$AL$11)=0,"",AS52+(AS52*$AL$11)),"")</f>
        <v/>
      </c>
      <c r="L52" s="323">
        <f>IFERROR(IF(AT52+(AT52*$AL$11)=0,"",AT52+(AT52*$AL$11)),"")</f>
        <v/>
      </c>
      <c r="M52" s="323">
        <f>IFERROR(IF(AU52+(AU52*$AL$11)=0,"",AU52+(AU52*$AL$11)),"")</f>
        <v/>
      </c>
      <c r="N52" s="323">
        <f>IFERROR(IF(AV52+(AV52*$AL$11)=0,"",AV52+(AV52*$AL$11)),"")</f>
        <v/>
      </c>
      <c r="O52" s="323">
        <f>IFERROR(IF(AW52+(AW52*$AL$11)=0,"",AW52+(AW52*$AL$11)),"")</f>
        <v/>
      </c>
      <c r="P52" s="124" t="n"/>
      <c r="Q52" s="352" t="n">
        <v>1010</v>
      </c>
      <c r="R52" s="323" t="n">
        <v>48.23</v>
      </c>
      <c r="S52" s="323" t="n">
        <v>78.87</v>
      </c>
      <c r="U52" s="65" t="n"/>
      <c r="AJ52" s="91" t="n">
        <v>1010</v>
      </c>
      <c r="AK52" s="137" t="inlineStr"/>
      <c r="AL52" s="138" t="inlineStr"/>
      <c r="AM52" s="138" t="inlineStr"/>
      <c r="AN52" s="138" t="inlineStr"/>
      <c r="AO52" s="138" t="inlineStr"/>
      <c r="AP52" s="138" t="n">
        <v>451.1808</v>
      </c>
      <c r="AQ52" s="138" t="n">
        <v>488.8912</v>
      </c>
      <c r="AR52" s="138" t="n">
        <v>539.5264000000001</v>
      </c>
      <c r="AS52" s="138" t="n">
        <v>593.1408</v>
      </c>
      <c r="AT52" s="138" t="n">
        <v>655.1888</v>
      </c>
      <c r="AU52" s="138" t="inlineStr"/>
      <c r="AV52" s="138" t="inlineStr"/>
      <c r="AW52" s="139" t="inlineStr"/>
    </row>
    <row r="53">
      <c r="B53" s="322" t="n">
        <v>1050</v>
      </c>
      <c r="C53" s="323">
        <f>IFERROR(IF(AK53+(AK53*$AL$11)=0,"",AK53+(AK53*$AL$11)),"")</f>
        <v/>
      </c>
      <c r="D53" s="323">
        <f>IFERROR(IF(AL53+(AL53*$AL$11)=0,"",AL53+(AL53*$AL$11)),"")</f>
        <v/>
      </c>
      <c r="E53" s="323">
        <f>IFERROR(IF(AM53+(AM53*$AL$11)=0,"",AM53+(AM53*$AL$11)),"")</f>
        <v/>
      </c>
      <c r="F53" s="323">
        <f>IFERROR(IF(AN53+(AN53*$AL$11)=0,"",AN53+(AN53*$AL$11)),"")</f>
        <v/>
      </c>
      <c r="G53" s="323">
        <f>IFERROR(IF(AO53+(AO53*$AL$11)=0,"",AO53+(AO53*$AL$11)),"")</f>
        <v/>
      </c>
      <c r="H53" s="323">
        <f>IFERROR(IF(AP53+(AP53*$AL$11)=0,"",AP53+(AP53*$AL$11)),"")</f>
        <v/>
      </c>
      <c r="I53" s="323">
        <f>IFERROR(IF(AQ53+(AQ53*$AL$11)=0,"",AQ53+(AQ53*$AL$11)),"")</f>
        <v/>
      </c>
      <c r="J53" s="323">
        <f>IFERROR(IF(AR53+(AR53*$AL$11)=0,"",AR53+(AR53*$AL$11)),"")</f>
        <v/>
      </c>
      <c r="K53" s="323">
        <f>IFERROR(IF(AS53+(AS53*$AL$11)=0,"",AS53+(AS53*$AL$11)),"")</f>
        <v/>
      </c>
      <c r="L53" s="323">
        <f>IFERROR(IF(AT53+(AT53*$AL$11)=0,"",AT53+(AT53*$AL$11)),"")</f>
        <v/>
      </c>
      <c r="M53" s="323">
        <f>IFERROR(IF(AU53+(AU53*$AL$11)=0,"",AU53+(AU53*$AL$11)),"")</f>
        <v/>
      </c>
      <c r="N53" s="323">
        <f>IFERROR(IF(AV53+(AV53*$AL$11)=0,"",AV53+(AV53*$AL$11)),"")</f>
        <v/>
      </c>
      <c r="O53" s="323">
        <f>IFERROR(IF(AW53+(AW53*$AL$11)=0,"",AW53+(AW53*$AL$11)),"")</f>
        <v/>
      </c>
      <c r="P53" s="124" t="n"/>
      <c r="Q53" s="352" t="n"/>
      <c r="R53" s="323" t="n"/>
      <c r="S53" s="323" t="n"/>
      <c r="U53" s="65" t="n"/>
      <c r="AJ53" s="91" t="n">
        <v>1050</v>
      </c>
      <c r="AK53" s="137" t="inlineStr"/>
      <c r="AL53" s="138" t="inlineStr"/>
      <c r="AM53" s="138" t="inlineStr"/>
      <c r="AN53" s="138" t="n">
        <v>369.3536</v>
      </c>
      <c r="AO53" s="138" t="n">
        <v>422.8896</v>
      </c>
      <c r="AP53" s="138" t="n">
        <v>469.4032</v>
      </c>
      <c r="AQ53" s="138" t="n">
        <v>507.4384</v>
      </c>
      <c r="AR53" s="138" t="n">
        <v>557.5696</v>
      </c>
      <c r="AS53" s="138" t="n">
        <v>610.6576</v>
      </c>
      <c r="AT53" s="138" t="n">
        <v>674.8335999999999</v>
      </c>
      <c r="AU53" s="138" t="n">
        <v>702.6768</v>
      </c>
      <c r="AV53" s="138" t="inlineStr"/>
      <c r="AW53" s="139" t="inlineStr"/>
    </row>
    <row r="54">
      <c r="B54" s="322" t="n">
        <v>1100</v>
      </c>
      <c r="C54" s="323">
        <f>IFERROR(IF(AK54+(AK54*$AL$11)=0,"",AK54+(AK54*$AL$11)),"")</f>
        <v/>
      </c>
      <c r="D54" s="323">
        <f>IFERROR(IF(AL54+(AL54*$AL$11)=0,"",AL54+(AL54*$AL$11)),"")</f>
        <v/>
      </c>
      <c r="E54" s="323">
        <f>IFERROR(IF(AM54+(AM54*$AL$11)=0,"",AM54+(AM54*$AL$11)),"")</f>
        <v/>
      </c>
      <c r="F54" s="323">
        <f>IFERROR(IF(AN54+(AN54*$AL$11)=0,"",AN54+(AN54*$AL$11)),"")</f>
        <v/>
      </c>
      <c r="G54" s="323">
        <f>IFERROR(IF(AO54+(AO54*$AL$11)=0,"",AO54+(AO54*$AL$11)),"")</f>
        <v/>
      </c>
      <c r="H54" s="323">
        <f>IFERROR(IF(AP54+(AP54*$AL$11)=0,"",AP54+(AP54*$AL$11)),"")</f>
        <v/>
      </c>
      <c r="I54" s="323">
        <f>IFERROR(IF(AQ54+(AQ54*$AL$11)=0,"",AQ54+(AQ54*$AL$11)),"")</f>
        <v/>
      </c>
      <c r="J54" s="323">
        <f>IFERROR(IF(AR54+(AR54*$AL$11)=0,"",AR54+(AR54*$AL$11)),"")</f>
        <v/>
      </c>
      <c r="K54" s="323">
        <f>IFERROR(IF(AS54+(AS54*$AL$11)=0,"",AS54+(AS54*$AL$11)),"")</f>
        <v/>
      </c>
      <c r="L54" s="323">
        <f>IFERROR(IF(AT54+(AT54*$AL$11)=0,"",AT54+(AT54*$AL$11)),"")</f>
        <v/>
      </c>
      <c r="M54" s="323">
        <f>IFERROR(IF(AU54+(AU54*$AL$11)=0,"",AU54+(AU54*$AL$11)),"")</f>
        <v/>
      </c>
      <c r="N54" s="323">
        <f>IFERROR(IF(AV54+(AV54*$AL$11)=0,"",AV54+(AV54*$AL$11)),"")</f>
        <v/>
      </c>
      <c r="O54" s="323">
        <f>IFERROR(IF(AW54+(AW54*$AL$11)=0,"",AW54+(AW54*$AL$11)),"")</f>
        <v/>
      </c>
      <c r="P54" s="124" t="n"/>
      <c r="Q54" s="352" t="n">
        <v>1100</v>
      </c>
      <c r="R54" s="323" t="n">
        <v>51.38</v>
      </c>
      <c r="S54" s="323" t="n">
        <v>82.08</v>
      </c>
      <c r="U54" s="65" t="n"/>
      <c r="AJ54" s="91" t="n">
        <v>1100</v>
      </c>
      <c r="AK54" s="137" t="inlineStr"/>
      <c r="AL54" s="138" t="inlineStr"/>
      <c r="AM54" s="138" t="inlineStr"/>
      <c r="AN54" s="138" t="n">
        <v>388.6064</v>
      </c>
      <c r="AO54" s="138" t="n">
        <v>444.8864</v>
      </c>
      <c r="AP54" s="138" t="n">
        <v>492.0944</v>
      </c>
      <c r="AQ54" s="138" t="n">
        <v>530.8128</v>
      </c>
      <c r="AR54" s="138" t="n">
        <v>580.9440000000001</v>
      </c>
      <c r="AS54" s="138" t="n">
        <v>634.032</v>
      </c>
      <c r="AT54" s="138" t="n">
        <v>700.9632</v>
      </c>
      <c r="AU54" s="138" t="n">
        <v>720.0368</v>
      </c>
      <c r="AV54" s="138" t="inlineStr"/>
      <c r="AW54" s="139" t="inlineStr"/>
    </row>
    <row r="55">
      <c r="B55" s="322" t="n">
        <v>1150</v>
      </c>
      <c r="C55" s="323">
        <f>IFERROR(IF(AK55+(AK55*$AL$11)=0,"",AK55+(AK55*$AL$11)),"")</f>
        <v/>
      </c>
      <c r="D55" s="323">
        <f>IFERROR(IF(AL55+(AL55*$AL$11)=0,"",AL55+(AL55*$AL$11)),"")</f>
        <v/>
      </c>
      <c r="E55" s="323">
        <f>IFERROR(IF(AM55+(AM55*$AL$11)=0,"",AM55+(AM55*$AL$11)),"")</f>
        <v/>
      </c>
      <c r="F55" s="323">
        <f>IFERROR(IF(AN55+(AN55*$AL$11)=0,"",AN55+(AN55*$AL$11)),"")</f>
        <v/>
      </c>
      <c r="G55" s="323">
        <f>IFERROR(IF(AO55+(AO55*$AL$11)=0,"",AO55+(AO55*$AL$11)),"")</f>
        <v/>
      </c>
      <c r="H55" s="323">
        <f>IFERROR(IF(AP55+(AP55*$AL$11)=0,"",AP55+(AP55*$AL$11)),"")</f>
        <v/>
      </c>
      <c r="I55" s="323">
        <f>IFERROR(IF(AQ55+(AQ55*$AL$11)=0,"",AQ55+(AQ55*$AL$11)),"")</f>
        <v/>
      </c>
      <c r="J55" s="323">
        <f>IFERROR(IF(AR55+(AR55*$AL$11)=0,"",AR55+(AR55*$AL$11)),"")</f>
        <v/>
      </c>
      <c r="K55" s="323">
        <f>IFERROR(IF(AS55+(AS55*$AL$11)=0,"",AS55+(AS55*$AL$11)),"")</f>
        <v/>
      </c>
      <c r="L55" s="323">
        <f>IFERROR(IF(AT55+(AT55*$AL$11)=0,"",AT55+(AT55*$AL$11)),"")</f>
        <v/>
      </c>
      <c r="M55" s="323">
        <f>IFERROR(IF(AU55+(AU55*$AL$11)=0,"",AU55+(AU55*$AL$11)),"")</f>
        <v/>
      </c>
      <c r="N55" s="323">
        <f>IFERROR(IF(AV55+(AV55*$AL$11)=0,"",AV55+(AV55*$AL$11)),"")</f>
        <v/>
      </c>
      <c r="O55" s="323">
        <f>IFERROR(IF(AW55+(AW55*$AL$11)=0,"",AW55+(AW55*$AL$11)),"")</f>
        <v/>
      </c>
      <c r="P55" s="124" t="n"/>
      <c r="Q55" s="352" t="n"/>
      <c r="R55" s="323" t="n"/>
      <c r="S55" s="323" t="n"/>
      <c r="U55" s="65" t="n"/>
      <c r="AJ55" s="91" t="n">
        <v>1150</v>
      </c>
      <c r="AK55" s="137" t="inlineStr"/>
      <c r="AL55" s="138" t="inlineStr"/>
      <c r="AM55" s="138" t="inlineStr"/>
      <c r="AN55" s="138" t="n">
        <v>404.9808</v>
      </c>
      <c r="AO55" s="138" t="n">
        <v>471.0272</v>
      </c>
      <c r="AP55" s="138" t="n">
        <v>519.6016</v>
      </c>
      <c r="AQ55" s="138" t="n">
        <v>559.6976</v>
      </c>
      <c r="AR55" s="138" t="n">
        <v>609.8288</v>
      </c>
      <c r="AS55" s="138" t="n">
        <v>662.9168</v>
      </c>
      <c r="AT55" s="138" t="n">
        <v>736.7248</v>
      </c>
      <c r="AU55" s="138" t="n">
        <v>770.9296000000001</v>
      </c>
      <c r="AV55" s="138" t="n">
        <v>835.4191999999999</v>
      </c>
      <c r="AW55" s="139" t="n">
        <v>889.9744000000001</v>
      </c>
    </row>
    <row r="56">
      <c r="B56" s="322" t="inlineStr">
        <is>
          <t>900/1350</t>
        </is>
      </c>
      <c r="C56" s="323">
        <f>IFERROR(IF(AK56+(AK56*$AL$11)=0,"",AK56+(AK56*$AL$11)),"")</f>
        <v/>
      </c>
      <c r="D56" s="323">
        <f>IFERROR(IF(AL56+(AL56*$AL$11)=0,"",AL56+(AL56*$AL$11)),"")</f>
        <v/>
      </c>
      <c r="E56" s="323">
        <f>IFERROR(IF(AM56+(AM56*$AL$11)=0,"",AM56+(AM56*$AL$11)),"")</f>
        <v/>
      </c>
      <c r="F56" s="323">
        <f>IFERROR(IF(AN56+(AN56*$AL$11)=0,"",AN56+(AN56*$AL$11)),"")</f>
        <v/>
      </c>
      <c r="G56" s="323">
        <f>IFERROR(IF(AO56+(AO56*$AL$11)=0,"",AO56+(AO56*$AL$11)),"")</f>
        <v/>
      </c>
      <c r="H56" s="323">
        <f>IFERROR(IF(AP56+(AP56*$AL$11)=0,"",AP56+(AP56*$AL$11)),"")</f>
        <v/>
      </c>
      <c r="I56" s="323">
        <f>IFERROR(IF(AQ56+(AQ56*$AL$11)=0,"",AQ56+(AQ56*$AL$11)),"")</f>
        <v/>
      </c>
      <c r="J56" s="323">
        <f>IFERROR(IF(AR56+(AR56*$AL$11)=0,"",AR56+(AR56*$AL$11)),"")</f>
        <v/>
      </c>
      <c r="K56" s="323">
        <f>IFERROR(IF(AS56+(AS56*$AL$11)=0,"",AS56+(AS56*$AL$11)),"")</f>
        <v/>
      </c>
      <c r="L56" s="323">
        <f>IFERROR(IF(AT56+(AT56*$AL$11)=0,"",AT56+(AT56*$AL$11)),"")</f>
        <v/>
      </c>
      <c r="M56" s="323">
        <f>IFERROR(IF(AU56+(AU56*$AL$11)=0,"",AU56+(AU56*$AL$11)),"")</f>
        <v/>
      </c>
      <c r="N56" s="323">
        <f>IFERROR(IF(AV56+(AV56*$AL$11)=0,"",AV56+(AV56*$AL$11)),"")</f>
        <v/>
      </c>
      <c r="O56" s="323">
        <f>IFERROR(IF(AW56+(AW56*$AL$11)=0,"",AW56+(AW56*$AL$11)),"")</f>
        <v/>
      </c>
      <c r="P56" s="124" t="n"/>
      <c r="Q56" s="352" t="inlineStr">
        <is>
          <t>900/1350</t>
        </is>
      </c>
      <c r="R56" s="323" t="n">
        <v>54</v>
      </c>
      <c r="S56" s="323" t="n">
        <v>83</v>
      </c>
      <c r="U56" s="65" t="n"/>
      <c r="AJ56" s="91" t="inlineStr">
        <is>
          <t>900/1350</t>
        </is>
      </c>
      <c r="AK56" s="137" t="inlineStr"/>
      <c r="AL56" s="138" t="inlineStr"/>
      <c r="AM56" s="138" t="inlineStr"/>
      <c r="AN56" s="138" t="inlineStr"/>
      <c r="AO56" s="138" t="inlineStr"/>
      <c r="AP56" s="138" t="inlineStr"/>
      <c r="AQ56" s="138" t="n">
        <v>548.184</v>
      </c>
      <c r="AR56" s="138" t="n">
        <v>599.9616</v>
      </c>
      <c r="AS56" s="138" t="n">
        <v>654.7855999999999</v>
      </c>
      <c r="AT56" s="138" t="n">
        <v>723.9008</v>
      </c>
      <c r="AU56" s="138" t="n">
        <v>848.7135999999999</v>
      </c>
      <c r="AV56" s="138" t="inlineStr"/>
      <c r="AW56" s="139" t="inlineStr"/>
    </row>
    <row r="57">
      <c r="B57" s="322" t="n">
        <v>1136</v>
      </c>
      <c r="C57" s="323">
        <f>IFERROR(IF(AK57+(AK57*$AL$11)=0,"",AK57+(AK57*$AL$11)),"")</f>
        <v/>
      </c>
      <c r="D57" s="323">
        <f>IFERROR(IF(AL57+(AL57*$AL$11)=0,"",AL57+(AL57*$AL$11)),"")</f>
        <v/>
      </c>
      <c r="E57" s="323">
        <f>IFERROR(IF(AM57+(AM57*$AL$11)=0,"",AM57+(AM57*$AL$11)),"")</f>
        <v/>
      </c>
      <c r="F57" s="323">
        <f>IFERROR(IF(AN57+(AN57*$AL$11)=0,"",AN57+(AN57*$AL$11)),"")</f>
        <v/>
      </c>
      <c r="G57" s="323">
        <f>IFERROR(IF(AO57+(AO57*$AL$11)=0,"",AO57+(AO57*$AL$11)),"")</f>
        <v/>
      </c>
      <c r="H57" s="323">
        <f>IFERROR(IF(AP57+(AP57*$AL$11)=0,"",AP57+(AP57*$AL$11)),"")</f>
        <v/>
      </c>
      <c r="I57" s="323">
        <f>IFERROR(IF(AQ57+(AQ57*$AL$11)=0,"",AQ57+(AQ57*$AL$11)),"")</f>
        <v/>
      </c>
      <c r="J57" s="323">
        <f>IFERROR(IF(AR57+(AR57*$AL$11)=0,"",AR57+(AR57*$AL$11)),"")</f>
        <v/>
      </c>
      <c r="K57" s="323">
        <f>IFERROR(IF(AS57+(AS57*$AL$11)=0,"",AS57+(AS57*$AL$11)),"")</f>
        <v/>
      </c>
      <c r="L57" s="323">
        <f>IFERROR(IF(AT57+(AT57*$AL$11)=0,"",AT57+(AT57*$AL$11)),"")</f>
        <v/>
      </c>
      <c r="M57" s="323">
        <f>IFERROR(IF(AU57+(AU57*$AL$11)=0,"",AU57+(AU57*$AL$11)),"")</f>
        <v/>
      </c>
      <c r="N57" s="323">
        <f>IFERROR(IF(AV57+(AV57*$AL$11)=0,"",AV57+(AV57*$AL$11)),"")</f>
        <v/>
      </c>
      <c r="O57" s="323">
        <f>IFERROR(IF(AW57+(AW57*$AL$11)=0,"",AW57+(AW57*$AL$11)),"")</f>
        <v/>
      </c>
      <c r="P57" s="124" t="n"/>
      <c r="Q57" s="352" t="n">
        <v>1136</v>
      </c>
      <c r="R57" s="323" t="n">
        <v>54</v>
      </c>
      <c r="S57" s="323" t="n">
        <v>83</v>
      </c>
      <c r="U57" s="65" t="n"/>
      <c r="AJ57" s="91" t="n">
        <v>1136</v>
      </c>
      <c r="AK57" s="137" t="inlineStr"/>
      <c r="AL57" s="138" t="inlineStr"/>
      <c r="AM57" s="138" t="inlineStr"/>
      <c r="AN57" s="138" t="inlineStr"/>
      <c r="AO57" s="138" t="inlineStr"/>
      <c r="AP57" s="138" t="inlineStr"/>
      <c r="AQ57" s="138" t="n">
        <v>548.184</v>
      </c>
      <c r="AR57" s="138" t="n">
        <v>599.9616</v>
      </c>
      <c r="AS57" s="138" t="n">
        <v>654.7855999999999</v>
      </c>
      <c r="AT57" s="138" t="n">
        <v>723.9008</v>
      </c>
      <c r="AU57" s="138" t="n">
        <v>848.7135999999999</v>
      </c>
      <c r="AV57" s="138" t="inlineStr"/>
      <c r="AW57" s="139" t="inlineStr"/>
    </row>
    <row r="58">
      <c r="B58" s="322" t="n">
        <v>1200</v>
      </c>
      <c r="C58" s="323">
        <f>IFERROR(IF(AK58+(AK58*$AL$11)=0,"",AK58+(AK58*$AL$11)),"")</f>
        <v/>
      </c>
      <c r="D58" s="323">
        <f>IFERROR(IF(AL58+(AL58*$AL$11)=0,"",AL58+(AL58*$AL$11)),"")</f>
        <v/>
      </c>
      <c r="E58" s="323">
        <f>IFERROR(IF(AM58+(AM58*$AL$11)=0,"",AM58+(AM58*$AL$11)),"")</f>
        <v/>
      </c>
      <c r="F58" s="323">
        <f>IFERROR(IF(AN58+(AN58*$AL$11)=0,"",AN58+(AN58*$AL$11)),"")</f>
        <v/>
      </c>
      <c r="G58" s="323">
        <f>IFERROR(IF(AO58+(AO58*$AL$11)=0,"",AO58+(AO58*$AL$11)),"")</f>
        <v/>
      </c>
      <c r="H58" s="323">
        <f>IFERROR(IF(AP58+(AP58*$AL$11)=0,"",AP58+(AP58*$AL$11)),"")</f>
        <v/>
      </c>
      <c r="I58" s="323">
        <f>IFERROR(IF(AQ58+(AQ58*$AL$11)=0,"",AQ58+(AQ58*$AL$11)),"")</f>
        <v/>
      </c>
      <c r="J58" s="323">
        <f>IFERROR(IF(AR58+(AR58*$AL$11)=0,"",AR58+(AR58*$AL$11)),"")</f>
        <v/>
      </c>
      <c r="K58" s="323">
        <f>IFERROR(IF(AS58+(AS58*$AL$11)=0,"",AS58+(AS58*$AL$11)),"")</f>
        <v/>
      </c>
      <c r="L58" s="323">
        <f>IFERROR(IF(AT58+(AT58*$AL$11)=0,"",AT58+(AT58*$AL$11)),"")</f>
        <v/>
      </c>
      <c r="M58" s="323">
        <f>IFERROR(IF(AU58+(AU58*$AL$11)=0,"",AU58+(AU58*$AL$11)),"")</f>
        <v/>
      </c>
      <c r="N58" s="323">
        <f>IFERROR(IF(AV58+(AV58*$AL$11)=0,"",AV58+(AV58*$AL$11)),"")</f>
        <v/>
      </c>
      <c r="O58" s="323">
        <f>IFERROR(IF(AW58+(AW58*$AL$11)=0,"",AW58+(AW58*$AL$11)),"")</f>
        <v/>
      </c>
      <c r="P58" s="124" t="n"/>
      <c r="Q58" s="352" t="n">
        <v>1200</v>
      </c>
      <c r="R58" s="323" t="n">
        <v>55.5</v>
      </c>
      <c r="S58" s="323" t="n">
        <v>86.3</v>
      </c>
      <c r="U58" s="65" t="n"/>
      <c r="AJ58" s="91" t="n">
        <v>1200</v>
      </c>
      <c r="AK58" s="137" t="inlineStr"/>
      <c r="AL58" s="138" t="inlineStr"/>
      <c r="AM58" s="138" t="inlineStr"/>
      <c r="AN58" s="138" t="n">
        <v>432.6224</v>
      </c>
      <c r="AO58" s="138" t="n">
        <v>497.1568</v>
      </c>
      <c r="AP58" s="138" t="n">
        <v>547.1088</v>
      </c>
      <c r="AQ58" s="138" t="n">
        <v>588.5824</v>
      </c>
      <c r="AR58" s="138" t="n">
        <v>638.7135999999999</v>
      </c>
      <c r="AS58" s="138" t="n">
        <v>691.8015999999999</v>
      </c>
      <c r="AT58" s="138" t="n">
        <v>772.4864</v>
      </c>
      <c r="AU58" s="138" t="n">
        <v>821.8112</v>
      </c>
      <c r="AV58" s="138" t="n">
        <v>890.9824</v>
      </c>
      <c r="AW58" s="139" t="n">
        <v>949.1664000000001</v>
      </c>
    </row>
    <row r="59">
      <c r="B59" s="322" t="n">
        <v>1250</v>
      </c>
      <c r="C59" s="323">
        <f>IFERROR(IF(AK59+(AK59*$AL$11)=0,"",AK59+(AK59*$AL$11)),"")</f>
        <v/>
      </c>
      <c r="D59" s="323">
        <f>IFERROR(IF(AL59+(AL59*$AL$11)=0,"",AL59+(AL59*$AL$11)),"")</f>
        <v/>
      </c>
      <c r="E59" s="323">
        <f>IFERROR(IF(AM59+(AM59*$AL$11)=0,"",AM59+(AM59*$AL$11)),"")</f>
        <v/>
      </c>
      <c r="F59" s="323">
        <f>IFERROR(IF(AN59+(AN59*$AL$11)=0,"",AN59+(AN59*$AL$11)),"")</f>
        <v/>
      </c>
      <c r="G59" s="323">
        <f>IFERROR(IF(AO59+(AO59*$AL$11)=0,"",AO59+(AO59*$AL$11)),"")</f>
        <v/>
      </c>
      <c r="H59" s="323">
        <f>IFERROR(IF(AP59+(AP59*$AL$11)=0,"",AP59+(AP59*$AL$11)),"")</f>
        <v/>
      </c>
      <c r="I59" s="323">
        <f>IFERROR(IF(AQ59+(AQ59*$AL$11)=0,"",AQ59+(AQ59*$AL$11)),"")</f>
        <v/>
      </c>
      <c r="J59" s="323">
        <f>IFERROR(IF(AR59+(AR59*$AL$11)=0,"",AR59+(AR59*$AL$11)),"")</f>
        <v/>
      </c>
      <c r="K59" s="323">
        <f>IFERROR(IF(AS59+(AS59*$AL$11)=0,"",AS59+(AS59*$AL$11)),"")</f>
        <v/>
      </c>
      <c r="L59" s="323">
        <f>IFERROR(IF(AT59+(AT59*$AL$11)=0,"",AT59+(AT59*$AL$11)),"")</f>
        <v/>
      </c>
      <c r="M59" s="323">
        <f>IFERROR(IF(AU59+(AU59*$AL$11)=0,"",AU59+(AU59*$AL$11)),"")</f>
        <v/>
      </c>
      <c r="N59" s="323">
        <f>IFERROR(IF(AV59+(AV59*$AL$11)=0,"",AV59+(AV59*$AL$11)),"")</f>
        <v/>
      </c>
      <c r="O59" s="323">
        <f>IFERROR(IF(AW59+(AW59*$AL$11)=0,"",AW59+(AW59*$AL$11)),"")</f>
        <v/>
      </c>
      <c r="P59" s="124" t="n"/>
      <c r="Q59" s="352" t="n">
        <v>1250</v>
      </c>
      <c r="R59" s="323" t="n">
        <v>65</v>
      </c>
      <c r="S59" s="323" t="n">
        <v>95</v>
      </c>
      <c r="U59" s="65" t="n"/>
      <c r="AJ59" s="91" t="n">
        <v>1250</v>
      </c>
      <c r="AK59" s="137" t="inlineStr"/>
      <c r="AL59" s="138" t="inlineStr"/>
      <c r="AM59" s="138" t="inlineStr"/>
      <c r="AN59" s="138" t="inlineStr"/>
      <c r="AO59" s="138" t="n">
        <v>523.2864000000001</v>
      </c>
      <c r="AP59" s="138" t="n">
        <v>574.616</v>
      </c>
      <c r="AQ59" s="138" t="n">
        <v>617.4671999999999</v>
      </c>
      <c r="AR59" s="138" t="n">
        <v>667.5871999999999</v>
      </c>
      <c r="AS59" s="138" t="n">
        <v>720.6752</v>
      </c>
      <c r="AT59" s="138" t="n">
        <v>808.2479999999999</v>
      </c>
      <c r="AU59" s="138" t="n">
        <v>918.0304</v>
      </c>
      <c r="AV59" s="138" t="n">
        <v>984.6815999999999</v>
      </c>
      <c r="AW59" s="139" t="n">
        <v>1052.4416</v>
      </c>
    </row>
    <row r="60">
      <c r="B60" s="322" t="inlineStr">
        <is>
          <t>1000/1500</t>
        </is>
      </c>
      <c r="C60" s="323">
        <f>IFERROR(IF(AK60+(AK60*$AL$11)=0,"",AK60+(AK60*$AL$11)),"")</f>
        <v/>
      </c>
      <c r="D60" s="323">
        <f>IFERROR(IF(AL60+(AL60*$AL$11)=0,"",AL60+(AL60*$AL$11)),"")</f>
        <v/>
      </c>
      <c r="E60" s="323">
        <f>IFERROR(IF(AM60+(AM60*$AL$11)=0,"",AM60+(AM60*$AL$11)),"")</f>
        <v/>
      </c>
      <c r="F60" s="323">
        <f>IFERROR(IF(AN60+(AN60*$AL$11)=0,"",AN60+(AN60*$AL$11)),"")</f>
        <v/>
      </c>
      <c r="G60" s="323">
        <f>IFERROR(IF(AO60+(AO60*$AL$11)=0,"",AO60+(AO60*$AL$11)),"")</f>
        <v/>
      </c>
      <c r="H60" s="323">
        <f>IFERROR(IF(AP60+(AP60*$AL$11)=0,"",AP60+(AP60*$AL$11)),"")</f>
        <v/>
      </c>
      <c r="I60" s="323">
        <f>IFERROR(IF(AQ60+(AQ60*$AL$11)=0,"",AQ60+(AQ60*$AL$11)),"")</f>
        <v/>
      </c>
      <c r="J60" s="323">
        <f>IFERROR(IF(AR60+(AR60*$AL$11)=0,"",AR60+(AR60*$AL$11)),"")</f>
        <v/>
      </c>
      <c r="K60" s="323">
        <f>IFERROR(IF(AS60+(AS60*$AL$11)=0,"",AS60+(AS60*$AL$11)),"")</f>
        <v/>
      </c>
      <c r="L60" s="323">
        <f>IFERROR(IF(AT60+(AT60*$AL$11)=0,"",AT60+(AT60*$AL$11)),"")</f>
        <v/>
      </c>
      <c r="M60" s="323">
        <f>IFERROR(IF(AU60+(AU60*$AL$11)=0,"",AU60+(AU60*$AL$11)),"")</f>
        <v/>
      </c>
      <c r="N60" s="323">
        <f>IFERROR(IF(AV60+(AV60*$AL$11)=0,"",AV60+(AV60*$AL$11)),"")</f>
        <v/>
      </c>
      <c r="O60" s="323">
        <f>IFERROR(IF(AW60+(AW60*$AL$11)=0,"",AW60+(AW60*$AL$11)),"")</f>
        <v/>
      </c>
      <c r="P60" s="124" t="n"/>
      <c r="Q60" s="352" t="inlineStr">
        <is>
          <t>1000/1500</t>
        </is>
      </c>
      <c r="R60" s="323" t="n">
        <v>65</v>
      </c>
      <c r="S60" s="323" t="n">
        <v>95</v>
      </c>
      <c r="U60" s="65" t="n"/>
      <c r="AJ60" s="91" t="inlineStr">
        <is>
          <t>1000/1500</t>
        </is>
      </c>
      <c r="AK60" s="137" t="inlineStr"/>
      <c r="AL60" s="138" t="inlineStr"/>
      <c r="AM60" s="138" t="inlineStr"/>
      <c r="AN60" s="138" t="inlineStr"/>
      <c r="AO60" s="138" t="inlineStr"/>
      <c r="AP60" s="138" t="inlineStr"/>
      <c r="AQ60" s="138" t="n">
        <v>623.3808</v>
      </c>
      <c r="AR60" s="138" t="n">
        <v>673.9936</v>
      </c>
      <c r="AS60" s="138" t="n">
        <v>727.5968</v>
      </c>
      <c r="AT60" s="138" t="n">
        <v>815.9984000000001</v>
      </c>
      <c r="AU60" s="138" t="n">
        <v>926.856</v>
      </c>
      <c r="AV60" s="138" t="n">
        <v>994.1344</v>
      </c>
      <c r="AW60" s="139" t="n">
        <v>1062.5552</v>
      </c>
    </row>
    <row r="61">
      <c r="B61" s="322" t="n">
        <v>1262</v>
      </c>
      <c r="C61" s="323">
        <f>IFERROR(IF(AK61+(AK61*$AL$11)=0,"",AK61+(AK61*$AL$11)),"")</f>
        <v/>
      </c>
      <c r="D61" s="323">
        <f>IFERROR(IF(AL61+(AL61*$AL$11)=0,"",AL61+(AL61*$AL$11)),"")</f>
        <v/>
      </c>
      <c r="E61" s="323">
        <f>IFERROR(IF(AM61+(AM61*$AL$11)=0,"",AM61+(AM61*$AL$11)),"")</f>
        <v/>
      </c>
      <c r="F61" s="323">
        <f>IFERROR(IF(AN61+(AN61*$AL$11)=0,"",AN61+(AN61*$AL$11)),"")</f>
        <v/>
      </c>
      <c r="G61" s="323">
        <f>IFERROR(IF(AO61+(AO61*$AL$11)=0,"",AO61+(AO61*$AL$11)),"")</f>
        <v/>
      </c>
      <c r="H61" s="323">
        <f>IFERROR(IF(AP61+(AP61*$AL$11)=0,"",AP61+(AP61*$AL$11)),"")</f>
        <v/>
      </c>
      <c r="I61" s="323">
        <f>IFERROR(IF(AQ61+(AQ61*$AL$11)=0,"",AQ61+(AQ61*$AL$11)),"")</f>
        <v/>
      </c>
      <c r="J61" s="323">
        <f>IFERROR(IF(AR61+(AR61*$AL$11)=0,"",AR61+(AR61*$AL$11)),"")</f>
        <v/>
      </c>
      <c r="K61" s="323">
        <f>IFERROR(IF(AS61+(AS61*$AL$11)=0,"",AS61+(AS61*$AL$11)),"")</f>
        <v/>
      </c>
      <c r="L61" s="323">
        <f>IFERROR(IF(AT61+(AT61*$AL$11)=0,"",AT61+(AT61*$AL$11)),"")</f>
        <v/>
      </c>
      <c r="M61" s="323">
        <f>IFERROR(IF(AU61+(AU61*$AL$11)=0,"",AU61+(AU61*$AL$11)),"")</f>
        <v/>
      </c>
      <c r="N61" s="323">
        <f>IFERROR(IF(AV61+(AV61*$AL$11)=0,"",AV61+(AV61*$AL$11)),"")</f>
        <v/>
      </c>
      <c r="O61" s="323">
        <f>IFERROR(IF(AW61+(AW61*$AL$11)=0,"",AW61+(AW61*$AL$11)),"")</f>
        <v/>
      </c>
      <c r="P61" s="124" t="n"/>
      <c r="Q61" s="352" t="n">
        <v>1262</v>
      </c>
      <c r="R61" s="323" t="n">
        <v>65</v>
      </c>
      <c r="S61" s="323" t="n">
        <v>95</v>
      </c>
      <c r="U61" s="65" t="n"/>
      <c r="AJ61" s="91" t="n">
        <v>1262</v>
      </c>
      <c r="AK61" s="137" t="inlineStr"/>
      <c r="AL61" s="138" t="inlineStr"/>
      <c r="AM61" s="138" t="inlineStr"/>
      <c r="AN61" s="138" t="inlineStr"/>
      <c r="AO61" s="138" t="inlineStr"/>
      <c r="AP61" s="138" t="inlineStr"/>
      <c r="AQ61" s="138" t="n">
        <v>623.3808</v>
      </c>
      <c r="AR61" s="138" t="n">
        <v>673.9936</v>
      </c>
      <c r="AS61" s="138" t="n">
        <v>727.5968</v>
      </c>
      <c r="AT61" s="138" t="n">
        <v>815.9984000000001</v>
      </c>
      <c r="AU61" s="138" t="n">
        <v>926.856</v>
      </c>
      <c r="AV61" s="138" t="n">
        <v>994.1344</v>
      </c>
      <c r="AW61" s="139" t="n">
        <v>1062.5552</v>
      </c>
    </row>
    <row r="62">
      <c r="B62" s="322" t="n">
        <v>1300</v>
      </c>
      <c r="C62" s="323">
        <f>IFERROR(IF(AK62+(AK62*$AL$11)=0,"",AK62+(AK62*$AL$11)),"")</f>
        <v/>
      </c>
      <c r="D62" s="323">
        <f>IFERROR(IF(AL62+(AL62*$AL$11)=0,"",AL62+(AL62*$AL$11)),"")</f>
        <v/>
      </c>
      <c r="E62" s="323">
        <f>IFERROR(IF(AM62+(AM62*$AL$11)=0,"",AM62+(AM62*$AL$11)),"")</f>
        <v/>
      </c>
      <c r="F62" s="323">
        <f>IFERROR(IF(AN62+(AN62*$AL$11)=0,"",AN62+(AN62*$AL$11)),"")</f>
        <v/>
      </c>
      <c r="G62" s="323">
        <f>IFERROR(IF(AO62+(AO62*$AL$11)=0,"",AO62+(AO62*$AL$11)),"")</f>
        <v/>
      </c>
      <c r="H62" s="323">
        <f>IFERROR(IF(AP62+(AP62*$AL$11)=0,"",AP62+(AP62*$AL$11)),"")</f>
        <v/>
      </c>
      <c r="I62" s="323">
        <f>IFERROR(IF(AQ62+(AQ62*$AL$11)=0,"",AQ62+(AQ62*$AL$11)),"")</f>
        <v/>
      </c>
      <c r="J62" s="323">
        <f>IFERROR(IF(AR62+(AR62*$AL$11)=0,"",AR62+(AR62*$AL$11)),"")</f>
        <v/>
      </c>
      <c r="K62" s="323">
        <f>IFERROR(IF(AS62+(AS62*$AL$11)=0,"",AS62+(AS62*$AL$11)),"")</f>
        <v/>
      </c>
      <c r="L62" s="323">
        <f>IFERROR(IF(AT62+(AT62*$AL$11)=0,"",AT62+(AT62*$AL$11)),"")</f>
        <v/>
      </c>
      <c r="M62" s="323">
        <f>IFERROR(IF(AU62+(AU62*$AL$11)=0,"",AU62+(AU62*$AL$11)),"")</f>
        <v/>
      </c>
      <c r="N62" s="323">
        <f>IFERROR(IF(AV62+(AV62*$AL$11)=0,"",AV62+(AV62*$AL$11)),"")</f>
        <v/>
      </c>
      <c r="O62" s="323">
        <f>IFERROR(IF(AW62+(AW62*$AL$11)=0,"",AW62+(AW62*$AL$11)),"")</f>
        <v/>
      </c>
      <c r="P62" s="124" t="n"/>
      <c r="Q62" s="352" t="n"/>
      <c r="R62" s="323" t="n"/>
      <c r="S62" s="323" t="n"/>
      <c r="U62" s="65" t="n"/>
      <c r="AJ62" s="91" t="n">
        <v>1300</v>
      </c>
      <c r="AK62" s="137" t="inlineStr"/>
      <c r="AL62" s="138" t="inlineStr"/>
      <c r="AM62" s="138" t="inlineStr"/>
      <c r="AN62" s="138" t="inlineStr"/>
      <c r="AO62" s="138" t="n">
        <v>572.6</v>
      </c>
      <c r="AP62" s="138" t="n">
        <v>654.4159999999999</v>
      </c>
      <c r="AQ62" s="138" t="n">
        <v>724.2144</v>
      </c>
      <c r="AR62" s="138" t="n">
        <v>794.5504</v>
      </c>
      <c r="AS62" s="138" t="n">
        <v>865.256</v>
      </c>
      <c r="AT62" s="138" t="n">
        <v>936.2303999999999</v>
      </c>
      <c r="AU62" s="138" t="n">
        <v>1014.2384</v>
      </c>
      <c r="AV62" s="138" t="n">
        <v>1078.3696</v>
      </c>
      <c r="AW62" s="139" t="n">
        <v>1155.7056</v>
      </c>
    </row>
    <row r="63">
      <c r="B63" s="322" t="n">
        <v>1350</v>
      </c>
      <c r="C63" s="323">
        <f>IFERROR(IF(AK63+(AK63*$AL$11)=0,"",AK63+(AK63*$AL$11)),"")</f>
        <v/>
      </c>
      <c r="D63" s="323">
        <f>IFERROR(IF(AL63+(AL63*$AL$11)=0,"",AL63+(AL63*$AL$11)),"")</f>
        <v/>
      </c>
      <c r="E63" s="323">
        <f>IFERROR(IF(AM63+(AM63*$AL$11)=0,"",AM63+(AM63*$AL$11)),"")</f>
        <v/>
      </c>
      <c r="F63" s="323">
        <f>IFERROR(IF(AN63+(AN63*$AL$11)=0,"",AN63+(AN63*$AL$11)),"")</f>
        <v/>
      </c>
      <c r="G63" s="323">
        <f>IFERROR(IF(AO63+(AO63*$AL$11)=0,"",AO63+(AO63*$AL$11)),"")</f>
        <v/>
      </c>
      <c r="H63" s="323">
        <f>IFERROR(IF(AP63+(AP63*$AL$11)=0,"",AP63+(AP63*$AL$11)),"")</f>
        <v/>
      </c>
      <c r="I63" s="323">
        <f>IFERROR(IF(AQ63+(AQ63*$AL$11)=0,"",AQ63+(AQ63*$AL$11)),"")</f>
        <v/>
      </c>
      <c r="J63" s="323">
        <f>IFERROR(IF(AR63+(AR63*$AL$11)=0,"",AR63+(AR63*$AL$11)),"")</f>
        <v/>
      </c>
      <c r="K63" s="323">
        <f>IFERROR(IF(AS63+(AS63*$AL$11)=0,"",AS63+(AS63*$AL$11)),"")</f>
        <v/>
      </c>
      <c r="L63" s="323">
        <f>IFERROR(IF(AT63+(AT63*$AL$11)=0,"",AT63+(AT63*$AL$11)),"")</f>
        <v/>
      </c>
      <c r="M63" s="323">
        <f>IFERROR(IF(AU63+(AU63*$AL$11)=0,"",AU63+(AU63*$AL$11)),"")</f>
        <v/>
      </c>
      <c r="N63" s="323">
        <f>IFERROR(IF(AV63+(AV63*$AL$11)=0,"",AV63+(AV63*$AL$11)),"")</f>
        <v/>
      </c>
      <c r="O63" s="323">
        <f>IFERROR(IF(AW63+(AW63*$AL$11)=0,"",AW63+(AW63*$AL$11)),"")</f>
        <v/>
      </c>
      <c r="P63" s="124" t="n"/>
      <c r="Q63" s="352" t="n">
        <v>1350</v>
      </c>
      <c r="R63" s="323" t="n">
        <v>70</v>
      </c>
      <c r="S63" s="323" t="n">
        <v>105</v>
      </c>
      <c r="U63" s="65" t="n"/>
      <c r="AJ63" s="91" t="n">
        <v>1350</v>
      </c>
      <c r="AK63" s="137" t="inlineStr"/>
      <c r="AL63" s="138" t="inlineStr"/>
      <c r="AM63" s="138" t="inlineStr"/>
      <c r="AN63" s="138" t="inlineStr"/>
      <c r="AO63" s="138" t="n">
        <v>594.552</v>
      </c>
      <c r="AP63" s="138" t="n">
        <v>679.504</v>
      </c>
      <c r="AQ63" s="138" t="n">
        <v>751.968</v>
      </c>
      <c r="AR63" s="138" t="n">
        <v>825.0255999999999</v>
      </c>
      <c r="AS63" s="138" t="n">
        <v>898.4415999999999</v>
      </c>
      <c r="AT63" s="138" t="n">
        <v>972.1152000000001</v>
      </c>
      <c r="AU63" s="138" t="n">
        <v>1053.136</v>
      </c>
      <c r="AV63" s="138" t="n">
        <v>1123.2256</v>
      </c>
      <c r="AW63" s="139" t="n">
        <v>1200.0352</v>
      </c>
    </row>
    <row r="64">
      <c r="B64" s="322" t="n">
        <v>1400</v>
      </c>
      <c r="C64" s="323">
        <f>IFERROR(IF(AK64+(AK64*$AL$11)=0,"",AK64+(AK64*$AL$11)),"")</f>
        <v/>
      </c>
      <c r="D64" s="323">
        <f>IFERROR(IF(AL64+(AL64*$AL$11)=0,"",AL64+(AL64*$AL$11)),"")</f>
        <v/>
      </c>
      <c r="E64" s="323">
        <f>IFERROR(IF(AM64+(AM64*$AL$11)=0,"",AM64+(AM64*$AL$11)),"")</f>
        <v/>
      </c>
      <c r="F64" s="323">
        <f>IFERROR(IF(AN64+(AN64*$AL$11)=0,"",AN64+(AN64*$AL$11)),"")</f>
        <v/>
      </c>
      <c r="G64" s="323">
        <f>IFERROR(IF(AO64+(AO64*$AL$11)=0,"",AO64+(AO64*$AL$11)),"")</f>
        <v/>
      </c>
      <c r="H64" s="323">
        <f>IFERROR(IF(AP64+(AP64*$AL$11)=0,"",AP64+(AP64*$AL$11)),"")</f>
        <v/>
      </c>
      <c r="I64" s="323">
        <f>IFERROR(IF(AQ64+(AQ64*$AL$11)=0,"",AQ64+(AQ64*$AL$11)),"")</f>
        <v/>
      </c>
      <c r="J64" s="323">
        <f>IFERROR(IF(AR64+(AR64*$AL$11)=0,"",AR64+(AR64*$AL$11)),"")</f>
        <v/>
      </c>
      <c r="K64" s="323">
        <f>IFERROR(IF(AS64+(AS64*$AL$11)=0,"",AS64+(AS64*$AL$11)),"")</f>
        <v/>
      </c>
      <c r="L64" s="323">
        <f>IFERROR(IF(AT64+(AT64*$AL$11)=0,"",AT64+(AT64*$AL$11)),"")</f>
        <v/>
      </c>
      <c r="M64" s="323">
        <f>IFERROR(IF(AU64+(AU64*$AL$11)=0,"",AU64+(AU64*$AL$11)),"")</f>
        <v/>
      </c>
      <c r="N64" s="323">
        <f>IFERROR(IF(AV64+(AV64*$AL$11)=0,"",AV64+(AV64*$AL$11)),"")</f>
        <v/>
      </c>
      <c r="O64" s="323">
        <f>IFERROR(IF(AW64+(AW64*$AL$11)=0,"",AW64+(AW64*$AL$11)),"")</f>
        <v/>
      </c>
      <c r="P64" s="124" t="n"/>
      <c r="Q64" s="352" t="n"/>
      <c r="R64" s="323" t="n"/>
      <c r="S64" s="323" t="n"/>
      <c r="U64" s="65" t="n"/>
      <c r="AJ64" s="91" t="n">
        <v>1400</v>
      </c>
      <c r="AK64" s="137" t="inlineStr"/>
      <c r="AL64" s="138" t="inlineStr"/>
      <c r="AM64" s="138" t="inlineStr"/>
      <c r="AN64" s="138" t="inlineStr"/>
      <c r="AO64" s="138" t="n">
        <v>610.7471999999999</v>
      </c>
      <c r="AP64" s="138" t="n">
        <v>697.9952000000001</v>
      </c>
      <c r="AQ64" s="138" t="n">
        <v>772.4528</v>
      </c>
      <c r="AR64" s="138" t="n">
        <v>847.4816</v>
      </c>
      <c r="AS64" s="138" t="n">
        <v>922.9136</v>
      </c>
      <c r="AT64" s="138" t="n">
        <v>998.6032</v>
      </c>
      <c r="AU64" s="138" t="n">
        <v>1081.8192</v>
      </c>
      <c r="AV64" s="138" t="n">
        <v>1157.1616</v>
      </c>
      <c r="AW64" s="139" t="n">
        <v>1232.728</v>
      </c>
    </row>
    <row r="65">
      <c r="B65" s="322" t="n">
        <v>1450</v>
      </c>
      <c r="C65" s="323">
        <f>IFERROR(IF(AK65+(AK65*$AL$11)=0,"",AK65+(AK65*$AL$11)),"")</f>
        <v/>
      </c>
      <c r="D65" s="323">
        <f>IFERROR(IF(AL65+(AL65*$AL$11)=0,"",AL65+(AL65*$AL$11)),"")</f>
        <v/>
      </c>
      <c r="E65" s="323">
        <f>IFERROR(IF(AM65+(AM65*$AL$11)=0,"",AM65+(AM65*$AL$11)),"")</f>
        <v/>
      </c>
      <c r="F65" s="323">
        <f>IFERROR(IF(AN65+(AN65*$AL$11)=0,"",AN65+(AN65*$AL$11)),"")</f>
        <v/>
      </c>
      <c r="G65" s="323">
        <f>IFERROR(IF(AO65+(AO65*$AL$11)=0,"",AO65+(AO65*$AL$11)),"")</f>
        <v/>
      </c>
      <c r="H65" s="323">
        <f>IFERROR(IF(AP65+(AP65*$AL$11)=0,"",AP65+(AP65*$AL$11)),"")</f>
        <v/>
      </c>
      <c r="I65" s="323">
        <f>IFERROR(IF(AQ65+(AQ65*$AL$11)=0,"",AQ65+(AQ65*$AL$11)),"")</f>
        <v/>
      </c>
      <c r="J65" s="323">
        <f>IFERROR(IF(AR65+(AR65*$AL$11)=0,"",AR65+(AR65*$AL$11)),"")</f>
        <v/>
      </c>
      <c r="K65" s="323">
        <f>IFERROR(IF(AS65+(AS65*$AL$11)=0,"",AS65+(AS65*$AL$11)),"")</f>
        <v/>
      </c>
      <c r="L65" s="323">
        <f>IFERROR(IF(AT65+(AT65*$AL$11)=0,"",AT65+(AT65*$AL$11)),"")</f>
        <v/>
      </c>
      <c r="M65" s="323">
        <f>IFERROR(IF(AU65+(AU65*$AL$11)=0,"",AU65+(AU65*$AL$11)),"")</f>
        <v/>
      </c>
      <c r="N65" s="323">
        <f>IFERROR(IF(AV65+(AV65*$AL$11)=0,"",AV65+(AV65*$AL$11)),"")</f>
        <v/>
      </c>
      <c r="O65" s="323">
        <f>IFERROR(IF(AW65+(AW65*$AL$11)=0,"",AW65+(AW65*$AL$11)),"")</f>
        <v/>
      </c>
      <c r="P65" s="124" t="n"/>
      <c r="Q65" s="352" t="n"/>
      <c r="R65" s="323" t="n"/>
      <c r="S65" s="323" t="n"/>
      <c r="U65" s="65" t="n"/>
      <c r="AJ65" s="91" t="n">
        <v>1450</v>
      </c>
      <c r="AK65" s="137" t="inlineStr"/>
      <c r="AL65" s="138" t="inlineStr"/>
      <c r="AM65" s="138" t="inlineStr"/>
      <c r="AN65" s="138" t="inlineStr"/>
      <c r="AO65" s="138" t="inlineStr"/>
      <c r="AP65" s="138" t="n">
        <v>722.848</v>
      </c>
      <c r="AQ65" s="138" t="n">
        <v>799.9488</v>
      </c>
      <c r="AR65" s="138" t="n">
        <v>890.3328</v>
      </c>
      <c r="AS65" s="138" t="n">
        <v>955.7632</v>
      </c>
      <c r="AT65" s="138" t="n">
        <v>1034.1744</v>
      </c>
      <c r="AU65" s="138" t="n">
        <v>1120.3472</v>
      </c>
      <c r="AV65" s="138" t="n">
        <v>1198.3552</v>
      </c>
      <c r="AW65" s="139" t="n">
        <v>1264.5808</v>
      </c>
    </row>
    <row r="66">
      <c r="B66" s="322" t="n">
        <v>1500</v>
      </c>
      <c r="C66" s="323">
        <f>IFERROR(IF(AK66+(AK66*$AL$11)=0,"",AK66+(AK66*$AL$11)),"")</f>
        <v/>
      </c>
      <c r="D66" s="323">
        <f>IFERROR(IF(AL66+(AL66*$AL$11)=0,"",AL66+(AL66*$AL$11)),"")</f>
        <v/>
      </c>
      <c r="E66" s="323">
        <f>IFERROR(IF(AM66+(AM66*$AL$11)=0,"",AM66+(AM66*$AL$11)),"")</f>
        <v/>
      </c>
      <c r="F66" s="323">
        <f>IFERROR(IF(AN66+(AN66*$AL$11)=0,"",AN66+(AN66*$AL$11)),"")</f>
        <v/>
      </c>
      <c r="G66" s="323">
        <f>IFERROR(IF(AO66+(AO66*$AL$11)=0,"",AO66+(AO66*$AL$11)),"")</f>
        <v/>
      </c>
      <c r="H66" s="323">
        <f>IFERROR(IF(AP66+(AP66*$AL$11)=0,"",AP66+(AP66*$AL$11)),"")</f>
        <v/>
      </c>
      <c r="I66" s="323">
        <f>IFERROR(IF(AQ66+(AQ66*$AL$11)=0,"",AQ66+(AQ66*$AL$11)),"")</f>
        <v/>
      </c>
      <c r="J66" s="323">
        <f>IFERROR(IF(AR66+(AR66*$AL$11)=0,"",AR66+(AR66*$AL$11)),"")</f>
        <v/>
      </c>
      <c r="K66" s="323">
        <f>IFERROR(IF(AS66+(AS66*$AL$11)=0,"",AS66+(AS66*$AL$11)),"")</f>
        <v/>
      </c>
      <c r="L66" s="323">
        <f>IFERROR(IF(AT66+(AT66*$AL$11)=0,"",AT66+(AT66*$AL$11)),"")</f>
        <v/>
      </c>
      <c r="M66" s="323">
        <f>IFERROR(IF(AU66+(AU66*$AL$11)=0,"",AU66+(AU66*$AL$11)),"")</f>
        <v/>
      </c>
      <c r="N66" s="323">
        <f>IFERROR(IF(AV66+(AV66*$AL$11)=0,"",AV66+(AV66*$AL$11)),"")</f>
        <v/>
      </c>
      <c r="O66" s="323">
        <f>IFERROR(IF(AW66+(AW66*$AL$11)=0,"",AW66+(AW66*$AL$11)),"")</f>
        <v/>
      </c>
      <c r="P66" s="124" t="n"/>
      <c r="Q66" s="352" t="n">
        <v>1500</v>
      </c>
      <c r="R66" s="323" t="n">
        <v>75</v>
      </c>
      <c r="S66" s="323" t="n">
        <v>115</v>
      </c>
      <c r="U66" s="65" t="n"/>
      <c r="AJ66" s="91" t="n">
        <v>1500</v>
      </c>
      <c r="AK66" s="137" t="inlineStr"/>
      <c r="AL66" s="138" t="inlineStr"/>
      <c r="AM66" s="138" t="inlineStr"/>
      <c r="AN66" s="138" t="inlineStr"/>
      <c r="AO66" s="138" t="inlineStr"/>
      <c r="AP66" s="138" t="n">
        <v>747.7008000000001</v>
      </c>
      <c r="AQ66" s="138" t="n">
        <v>827.4559999999999</v>
      </c>
      <c r="AR66" s="138" t="n">
        <v>933.1615999999999</v>
      </c>
      <c r="AS66" s="138" t="n">
        <v>988.6352000000001</v>
      </c>
      <c r="AT66" s="138" t="n">
        <v>1069.7232</v>
      </c>
      <c r="AU66" s="138" t="n">
        <v>1158.864</v>
      </c>
      <c r="AV66" s="138" t="n">
        <v>1239.5712</v>
      </c>
      <c r="AW66" s="139" t="n">
        <v>1296.4448</v>
      </c>
    </row>
    <row r="67">
      <c r="B67" s="322" t="inlineStr">
        <is>
          <t>1200/1800</t>
        </is>
      </c>
      <c r="C67" s="323">
        <f>IFERROR(IF(AK67+(AK67*$AL$11)=0,"",AK67+(AK67*$AL$11)),"")</f>
        <v/>
      </c>
      <c r="D67" s="323">
        <f>IFERROR(IF(AL67+(AL67*$AL$11)=0,"",AL67+(AL67*$AL$11)),"")</f>
        <v/>
      </c>
      <c r="E67" s="323">
        <f>IFERROR(IF(AM67+(AM67*$AL$11)=0,"",AM67+(AM67*$AL$11)),"")</f>
        <v/>
      </c>
      <c r="F67" s="323">
        <f>IFERROR(IF(AN67+(AN67*$AL$11)=0,"",AN67+(AN67*$AL$11)),"")</f>
        <v/>
      </c>
      <c r="G67" s="323">
        <f>IFERROR(IF(AO67+(AO67*$AL$11)=0,"",AO67+(AO67*$AL$11)),"")</f>
        <v/>
      </c>
      <c r="H67" s="323">
        <f>IFERROR(IF(AP67+(AP67*$AL$11)=0,"",AP67+(AP67*$AL$11)),"")</f>
        <v/>
      </c>
      <c r="I67" s="323">
        <f>IFERROR(IF(AQ67+(AQ67*$AL$11)=0,"",AQ67+(AQ67*$AL$11)),"")</f>
        <v/>
      </c>
      <c r="J67" s="323">
        <f>IFERROR(IF(AR67+(AR67*$AL$11)=0,"",AR67+(AR67*$AL$11)),"")</f>
        <v/>
      </c>
      <c r="K67" s="323">
        <f>IFERROR(IF(AS67+(AS67*$AL$11)=0,"",AS67+(AS67*$AL$11)),"")</f>
        <v/>
      </c>
      <c r="L67" s="323">
        <f>IFERROR(IF(AT67+(AT67*$AL$11)=0,"",AT67+(AT67*$AL$11)),"")</f>
        <v/>
      </c>
      <c r="M67" s="323">
        <f>IFERROR(IF(AU67+(AU67*$AL$11)=0,"",AU67+(AU67*$AL$11)),"")</f>
        <v/>
      </c>
      <c r="N67" s="323">
        <f>IFERROR(IF(AV67+(AV67*$AL$11)=0,"",AV67+(AV67*$AL$11)),"")</f>
        <v/>
      </c>
      <c r="O67" s="323">
        <f>IFERROR(IF(AW67+(AW67*$AL$11)=0,"",AW67+(AW67*$AL$11)),"")</f>
        <v/>
      </c>
      <c r="P67" s="124" t="n"/>
      <c r="Q67" s="352" t="n"/>
      <c r="R67" s="323" t="n"/>
      <c r="S67" s="323" t="n"/>
      <c r="U67" s="65" t="n"/>
      <c r="AJ67" s="166" t="inlineStr">
        <is>
          <t>1200/1800</t>
        </is>
      </c>
      <c r="AK67" s="167" t="inlineStr"/>
      <c r="AL67" s="168" t="inlineStr"/>
      <c r="AM67" s="168" t="inlineStr"/>
      <c r="AN67" s="168" t="inlineStr"/>
      <c r="AO67" s="168" t="inlineStr"/>
      <c r="AP67" s="168" t="inlineStr"/>
      <c r="AQ67" s="168" t="inlineStr"/>
      <c r="AR67" s="168" t="inlineStr"/>
      <c r="AS67" s="168" t="inlineStr"/>
      <c r="AT67" s="168" t="n">
        <v>1080.4192</v>
      </c>
      <c r="AU67" s="168" t="n">
        <v>1170.456</v>
      </c>
      <c r="AV67" s="168" t="n">
        <v>1251.9584</v>
      </c>
      <c r="AW67" s="169" t="n">
        <v>1309.4032</v>
      </c>
    </row>
    <row r="68">
      <c r="B68" s="322" t="n">
        <v>1515</v>
      </c>
      <c r="C68" s="323">
        <f>IFERROR(IF(AK68+(AK68*$AL$11)=0,"",AK68+(AK68*$AL$11)),"")</f>
        <v/>
      </c>
      <c r="D68" s="323">
        <f>IFERROR(IF(AL68+(AL68*$AL$11)=0,"",AL68+(AL68*$AL$11)),"")</f>
        <v/>
      </c>
      <c r="E68" s="323">
        <f>IFERROR(IF(AM68+(AM68*$AL$11)=0,"",AM68+(AM68*$AL$11)),"")</f>
        <v/>
      </c>
      <c r="F68" s="323">
        <f>IFERROR(IF(AN68+(AN68*$AL$11)=0,"",AN68+(AN68*$AL$11)),"")</f>
        <v/>
      </c>
      <c r="G68" s="323">
        <f>IFERROR(IF(AO68+(AO68*$AL$11)=0,"",AO68+(AO68*$AL$11)),"")</f>
        <v/>
      </c>
      <c r="H68" s="323">
        <f>IFERROR(IF(AP68+(AP68*$AL$11)=0,"",AP68+(AP68*$AL$11)),"")</f>
        <v/>
      </c>
      <c r="I68" s="323">
        <f>IFERROR(IF(AQ68+(AQ68*$AL$11)=0,"",AQ68+(AQ68*$AL$11)),"")</f>
        <v/>
      </c>
      <c r="J68" s="323">
        <f>IFERROR(IF(AR68+(AR68*$AL$11)=0,"",AR68+(AR68*$AL$11)),"")</f>
        <v/>
      </c>
      <c r="K68" s="323">
        <f>IFERROR(IF(AS68+(AS68*$AL$11)=0,"",AS68+(AS68*$AL$11)),"")</f>
        <v/>
      </c>
      <c r="L68" s="323">
        <f>IFERROR(IF(AT68+(AT68*$AL$11)=0,"",AT68+(AT68*$AL$11)),"")</f>
        <v/>
      </c>
      <c r="M68" s="323">
        <f>IFERROR(IF(AU68+(AU68*$AL$11)=0,"",AU68+(AU68*$AL$11)),"")</f>
        <v/>
      </c>
      <c r="N68" s="323">
        <f>IFERROR(IF(AV68+(AV68*$AL$11)=0,"",AV68+(AV68*$AL$11)),"")</f>
        <v/>
      </c>
      <c r="O68" s="323">
        <f>IFERROR(IF(AW68+(AW68*$AL$11)=0,"",AW68+(AW68*$AL$11)),"")</f>
        <v/>
      </c>
      <c r="P68" s="124" t="n"/>
      <c r="Q68" s="352" t="n"/>
      <c r="R68" s="323" t="n"/>
      <c r="S68" s="323" t="n"/>
      <c r="U68" s="65" t="n"/>
      <c r="AJ68" s="166" t="n">
        <v>1515</v>
      </c>
      <c r="AK68" s="167" t="inlineStr"/>
      <c r="AL68" s="168" t="inlineStr"/>
      <c r="AM68" s="168" t="inlineStr"/>
      <c r="AN68" s="168" t="inlineStr"/>
      <c r="AO68" s="168" t="inlineStr"/>
      <c r="AP68" s="168" t="inlineStr"/>
      <c r="AQ68" s="168" t="inlineStr"/>
      <c r="AR68" s="168" t="inlineStr"/>
      <c r="AS68" s="168" t="inlineStr"/>
      <c r="AT68" s="168" t="n">
        <v>1080.4192</v>
      </c>
      <c r="AU68" s="168" t="n">
        <v>1170.456</v>
      </c>
      <c r="AV68" s="168" t="n">
        <v>1251.9584</v>
      </c>
      <c r="AW68" s="169" t="n">
        <v>1309.4032</v>
      </c>
    </row>
    <row r="69">
      <c r="B69" s="322" t="n">
        <v>1550</v>
      </c>
      <c r="C69" s="323">
        <f>IFERROR(IF(AK69+(AK69*$AL$11)=0,"",AK69+(AK69*$AL$11)),"")</f>
        <v/>
      </c>
      <c r="D69" s="323">
        <f>IFERROR(IF(AL69+(AL69*$AL$11)=0,"",AL69+(AL69*$AL$11)),"")</f>
        <v/>
      </c>
      <c r="E69" s="323">
        <f>IFERROR(IF(AM69+(AM69*$AL$11)=0,"",AM69+(AM69*$AL$11)),"")</f>
        <v/>
      </c>
      <c r="F69" s="323">
        <f>IFERROR(IF(AN69+(AN69*$AL$11)=0,"",AN69+(AN69*$AL$11)),"")</f>
        <v/>
      </c>
      <c r="G69" s="323">
        <f>IFERROR(IF(AO69+(AO69*$AL$11)=0,"",AO69+(AO69*$AL$11)),"")</f>
        <v/>
      </c>
      <c r="H69" s="323">
        <f>IFERROR(IF(AP69+(AP69*$AL$11)=0,"",AP69+(AP69*$AL$11)),"")</f>
        <v/>
      </c>
      <c r="I69" s="323">
        <f>IFERROR(IF(AQ69+(AQ69*$AL$11)=0,"",AQ69+(AQ69*$AL$11)),"")</f>
        <v/>
      </c>
      <c r="J69" s="323">
        <f>IFERROR(IF(AR69+(AR69*$AL$11)=0,"",AR69+(AR69*$AL$11)),"")</f>
        <v/>
      </c>
      <c r="K69" s="323">
        <f>IFERROR(IF(AS69+(AS69*$AL$11)=0,"",AS69+(AS69*$AL$11)),"")</f>
        <v/>
      </c>
      <c r="L69" s="323">
        <f>IFERROR(IF(AT69+(AT69*$AL$11)=0,"",AT69+(AT69*$AL$11)),"")</f>
        <v/>
      </c>
      <c r="M69" s="323">
        <f>IFERROR(IF(AU69+(AU69*$AL$11)=0,"",AU69+(AU69*$AL$11)),"")</f>
        <v/>
      </c>
      <c r="N69" s="323">
        <f>IFERROR(IF(AV69+(AV69*$AL$11)=0,"",AV69+(AV69*$AL$11)),"")</f>
        <v/>
      </c>
      <c r="O69" s="323">
        <f>IFERROR(IF(AW69+(AW69*$AL$11)=0,"",AW69+(AW69*$AL$11)),"")</f>
        <v/>
      </c>
      <c r="P69" s="124" t="n"/>
      <c r="Q69" s="352" t="n"/>
      <c r="R69" s="323" t="n"/>
      <c r="S69" s="323" t="n"/>
      <c r="U69" s="65" t="n"/>
      <c r="AJ69" s="166" t="n">
        <v>1550</v>
      </c>
      <c r="AK69" s="167" t="inlineStr"/>
      <c r="AL69" s="168" t="inlineStr"/>
      <c r="AM69" s="168" t="inlineStr"/>
      <c r="AN69" s="168" t="inlineStr"/>
      <c r="AO69" s="168" t="inlineStr"/>
      <c r="AP69" s="168" t="inlineStr"/>
      <c r="AQ69" s="168" t="n">
        <v>854.9632</v>
      </c>
      <c r="AR69" s="168" t="n">
        <v>975.9903999999999</v>
      </c>
      <c r="AS69" s="168" t="n">
        <v>1021.496</v>
      </c>
      <c r="AT69" s="168" t="n">
        <v>1105.2832</v>
      </c>
      <c r="AU69" s="168" t="n">
        <v>1197.392</v>
      </c>
      <c r="AV69" s="168" t="n">
        <v>1280.776</v>
      </c>
      <c r="AW69" s="169" t="n">
        <v>1328.2976</v>
      </c>
    </row>
    <row r="70" ht="13.5" customHeight="1" thickBot="1">
      <c r="B70" s="322" t="n">
        <v>1600</v>
      </c>
      <c r="C70" s="323">
        <f>IFERROR(IF(AK70+(AK70*$AL$11)=0,"",AK70+(AK70*$AL$11)),"")</f>
        <v/>
      </c>
      <c r="D70" s="323">
        <f>IFERROR(IF(AL70+(AL70*$AL$11)=0,"",AL70+(AL70*$AL$11)),"")</f>
        <v/>
      </c>
      <c r="E70" s="323">
        <f>IFERROR(IF(AM70+(AM70*$AL$11)=0,"",AM70+(AM70*$AL$11)),"")</f>
        <v/>
      </c>
      <c r="F70" s="323">
        <f>IFERROR(IF(AN70+(AN70*$AL$11)=0,"",AN70+(AN70*$AL$11)),"")</f>
        <v/>
      </c>
      <c r="G70" s="323">
        <f>IFERROR(IF(AO70+(AO70*$AL$11)=0,"",AO70+(AO70*$AL$11)),"")</f>
        <v/>
      </c>
      <c r="H70" s="323">
        <f>IFERROR(IF(AP70+(AP70*$AL$11)=0,"",AP70+(AP70*$AL$11)),"")</f>
        <v/>
      </c>
      <c r="I70" s="323">
        <f>IFERROR(IF(AQ70+(AQ70*$AL$11)=0,"",AQ70+(AQ70*$AL$11)),"")</f>
        <v/>
      </c>
      <c r="J70" s="323">
        <f>IFERROR(IF(AR70+(AR70*$AL$11)=0,"",AR70+(AR70*$AL$11)),"")</f>
        <v/>
      </c>
      <c r="K70" s="323">
        <f>IFERROR(IF(AS70+(AS70*$AL$11)=0,"",AS70+(AS70*$AL$11)),"")</f>
        <v/>
      </c>
      <c r="L70" s="323">
        <f>IFERROR(IF(AT70+(AT70*$AL$11)=0,"",AT70+(AT70*$AL$11)),"")</f>
        <v/>
      </c>
      <c r="M70" s="323">
        <f>IFERROR(IF(AU70+(AU70*$AL$11)=0,"",AU70+(AU70*$AL$11)),"")</f>
        <v/>
      </c>
      <c r="N70" s="323">
        <f>IFERROR(IF(AV70+(AV70*$AL$11)=0,"",AV70+(AV70*$AL$11)),"")</f>
        <v/>
      </c>
      <c r="O70" s="323">
        <f>IFERROR(IF(AW70+(AW70*$AL$11)=0,"",AW70+(AW70*$AL$11)),"")</f>
        <v/>
      </c>
      <c r="P70" s="124" t="n"/>
      <c r="Q70" s="352" t="inlineStr">
        <is>
          <t>1200/1800</t>
        </is>
      </c>
      <c r="R70" s="323" t="n">
        <v>75</v>
      </c>
      <c r="S70" s="323" t="n">
        <v>115</v>
      </c>
      <c r="U70" s="65" t="n"/>
      <c r="AJ70" s="114" t="n">
        <v>1600</v>
      </c>
      <c r="AK70" s="171" t="inlineStr"/>
      <c r="AL70" s="172" t="inlineStr"/>
      <c r="AM70" s="172" t="inlineStr"/>
      <c r="AN70" s="172" t="inlineStr"/>
      <c r="AO70" s="172" t="inlineStr"/>
      <c r="AP70" s="172" t="inlineStr"/>
      <c r="AQ70" s="172" t="n">
        <v>882.4703999999999</v>
      </c>
      <c r="AR70" s="172" t="n">
        <v>1018.8304</v>
      </c>
      <c r="AS70" s="172" t="n">
        <v>1054.3568</v>
      </c>
      <c r="AT70" s="172" t="n">
        <v>1140.8432</v>
      </c>
      <c r="AU70" s="172" t="n">
        <v>1235.9088</v>
      </c>
      <c r="AV70" s="172" t="n">
        <v>1321.9808</v>
      </c>
      <c r="AW70" s="173" t="n">
        <v>1360.1504</v>
      </c>
    </row>
    <row r="71" ht="14.25" customHeight="1" thickBot="1" thickTop="1">
      <c r="B71" s="117" t="n">
        <v>46082</v>
      </c>
      <c r="U71" s="65" t="n"/>
      <c r="AJ71" s="174" t="n"/>
      <c r="AK71" s="174" t="n"/>
      <c r="AL71" s="174" t="n"/>
      <c r="AM71" s="174" t="n"/>
      <c r="AN71" s="174" t="n"/>
      <c r="AO71" s="174" t="n"/>
      <c r="AP71" s="174" t="n"/>
      <c r="AQ71" s="174" t="n"/>
      <c r="AR71" s="174" t="n"/>
      <c r="AS71" s="174" t="n"/>
      <c r="AT71" s="174" t="n"/>
      <c r="AU71" s="174" t="n"/>
      <c r="AV71" s="174" t="n"/>
      <c r="AW71" s="174" t="n"/>
      <c r="AX71" s="174" t="n"/>
    </row>
    <row r="72" ht="13.5" customHeight="1" thickBot="1">
      <c r="B72" s="315" t="inlineStr">
        <is>
          <t>Insituform DN</t>
        </is>
      </c>
      <c r="C72" s="315" t="n">
        <v>4.5</v>
      </c>
      <c r="D72" s="315" t="n">
        <v>6</v>
      </c>
      <c r="E72" s="315" t="n">
        <v>7.5</v>
      </c>
      <c r="F72" s="315" t="n">
        <v>9</v>
      </c>
      <c r="G72" s="315" t="n">
        <v>10.5</v>
      </c>
      <c r="H72" s="315" t="n">
        <v>12</v>
      </c>
      <c r="I72" s="315" t="n">
        <v>13.5</v>
      </c>
      <c r="J72" s="315" t="n">
        <v>15</v>
      </c>
      <c r="K72" s="315" t="n">
        <v>16.5</v>
      </c>
      <c r="L72" s="315" t="n">
        <v>18</v>
      </c>
      <c r="M72" s="315" t="n">
        <v>19.5</v>
      </c>
      <c r="N72" s="315" t="n">
        <v>21</v>
      </c>
      <c r="O72" s="315" t="n">
        <v>22.5</v>
      </c>
      <c r="P72" s="315" t="n">
        <v>24</v>
      </c>
      <c r="R72" s="315" t="inlineStr">
        <is>
          <t>DN</t>
        </is>
      </c>
      <c r="S72" s="315" t="inlineStr">
        <is>
          <t>verloop</t>
        </is>
      </c>
      <c r="T72" s="119" t="n"/>
      <c r="U72" s="119" t="n"/>
      <c r="V72" s="119" t="inlineStr">
        <is>
          <t>Eindstuk</t>
        </is>
      </c>
      <c r="W72" s="119" t="inlineStr">
        <is>
          <t>Omslaan</t>
        </is>
      </c>
      <c r="X72" s="119" t="inlineStr">
        <is>
          <t xml:space="preserve">Korte lengte </t>
        </is>
      </c>
      <c r="Y72" s="119" t="inlineStr">
        <is>
          <t>min. Lengte</t>
        </is>
      </c>
      <c r="Z72" s="225" t="n"/>
      <c r="AJ72" s="174" t="n"/>
      <c r="AK72" s="366" t="inlineStr">
        <is>
          <t>Index % (Insituform)</t>
        </is>
      </c>
      <c r="AL72" s="351" t="n">
        <v>0.0565</v>
      </c>
      <c r="AM72" s="174" t="n"/>
      <c r="AN72" s="174" t="n"/>
      <c r="AO72" s="174" t="n"/>
      <c r="AP72" s="174" t="n"/>
      <c r="AQ72" s="174" t="n"/>
      <c r="AR72" s="174" t="n"/>
      <c r="AS72" s="174" t="n"/>
      <c r="AT72" s="174" t="n"/>
      <c r="AU72" s="174" t="n"/>
      <c r="AV72" s="174" t="n"/>
      <c r="AW72" s="174" t="n"/>
      <c r="AX72" s="174" t="n"/>
    </row>
    <row r="73" ht="13.5" customHeight="1" thickBot="1">
      <c r="B73" s="367" t="n">
        <v>200</v>
      </c>
      <c r="C73" s="323" t="n">
        <v>31.65</v>
      </c>
      <c r="D73" s="323" t="n">
        <v>36.91</v>
      </c>
      <c r="E73" s="323" t="n">
        <v>40.98</v>
      </c>
      <c r="F73" s="323">
        <f>IFERROR(IF(AN75+(AN75*$AL$72)=0,"",AN75+(AN75*$AL$72)),"")</f>
        <v/>
      </c>
      <c r="G73" s="323">
        <f>IFERROR(IF(AO75+(AO75*$AL$72)=0,"",AO75+(AO75*$AL$72)),"")</f>
        <v/>
      </c>
      <c r="H73" s="323">
        <f>IFERROR(IF(AP75+(AP75*$AL$72)=0,"",AP75+(AP75*$AL$72)),"")</f>
        <v/>
      </c>
      <c r="I73" s="323">
        <f>IFERROR(IF(AQ75+(AQ75*$AL$72)=0,"",AQ75+(AQ75*$AL$72)),"")</f>
        <v/>
      </c>
      <c r="J73" s="323">
        <f>IFERROR(IF(AR75+(AR75*$AL$72)=0,"",AR75+(AR75*$AL$72)),"")</f>
        <v/>
      </c>
      <c r="K73" s="323">
        <f>IFERROR(IF(AS75+(AS75*$AL$72)=0,"",AS75+(AS75*$AL$72)),"")</f>
        <v/>
      </c>
      <c r="L73" s="323">
        <f>IFERROR(IF(AT75+(AT75*$AL$72)=0,"",AT75+(AT75*$AL$72)),"")</f>
        <v/>
      </c>
      <c r="M73" s="323">
        <f>IFERROR(IF(AU75+(AU75*$AL$72)=0,"",AU75+(AU75*$AL$72)),"")</f>
        <v/>
      </c>
      <c r="N73" s="323">
        <f>IFERROR(IF(AV75+(AV75*$AL$72)=0,"",AV75+(AV75*$AL$72)),"")</f>
        <v/>
      </c>
      <c r="O73" s="323">
        <f>IFERROR(IF(AW75+(AW75*$AL$72)=0,"",AW75+(AW75*$AL$72)),"")</f>
        <v/>
      </c>
      <c r="P73" s="323">
        <f>IFERROR(IF(AX75+(AX75*$AL$72)=0,"",AX75+(AX75*$AL$72)),"")</f>
        <v/>
      </c>
      <c r="R73" s="368" t="n">
        <v>200</v>
      </c>
      <c r="S73" s="323" t="n">
        <v>235.72</v>
      </c>
      <c r="T73" s="222" t="n"/>
      <c r="U73" s="222" t="n"/>
      <c r="V73" s="222" t="n">
        <v>160.98</v>
      </c>
      <c r="W73" s="223" t="n">
        <v>160.98</v>
      </c>
      <c r="X73" s="222" t="n"/>
      <c r="Y73" s="222" t="n"/>
      <c r="Z73" s="224" t="n"/>
      <c r="AJ73" s="180" t="n">
        <v>44682</v>
      </c>
      <c r="AK73" s="174" t="n"/>
      <c r="AL73" s="174" t="n"/>
      <c r="AM73" s="174" t="n"/>
      <c r="AN73" s="174" t="n"/>
      <c r="AO73" s="174" t="n"/>
      <c r="AP73" s="174" t="n"/>
      <c r="AQ73" s="174" t="n"/>
      <c r="AR73" s="174" t="n"/>
      <c r="AS73" s="174" t="n"/>
      <c r="AT73" s="174" t="n"/>
      <c r="AU73" s="174" t="n"/>
      <c r="AV73" s="174" t="n"/>
      <c r="AW73" s="174" t="n"/>
      <c r="AX73" s="174" t="n"/>
    </row>
    <row r="74" ht="13.5" customHeight="1" thickBot="1">
      <c r="B74" s="367" t="n">
        <v>250</v>
      </c>
      <c r="C74" s="323">
        <f>IFERROR(IF(AK76+(AK76*$AL$72)=0,"",AK76+(AK76*$AL$72)),"")</f>
        <v/>
      </c>
      <c r="D74" s="323" t="n">
        <v>42.44</v>
      </c>
      <c r="E74" s="323" t="n">
        <v>47.54</v>
      </c>
      <c r="F74" s="323" t="n">
        <v>51.91</v>
      </c>
      <c r="G74" s="323">
        <f>IFERROR(IF(AO76+(AO76*$AL$72)=0,"",AO76+(AO76*$AL$72)),"")</f>
        <v/>
      </c>
      <c r="H74" s="323">
        <f>IFERROR(IF(AP76+(AP76*$AL$72)=0,"",AP76+(AP76*$AL$72)),"")</f>
        <v/>
      </c>
      <c r="I74" s="323">
        <f>IFERROR(IF(AQ76+(AQ76*$AL$72)=0,"",AQ76+(AQ76*$AL$72)),"")</f>
        <v/>
      </c>
      <c r="J74" s="323">
        <f>IFERROR(IF(AR76+(AR76*$AL$72)=0,"",AR76+(AR76*$AL$72)),"")</f>
        <v/>
      </c>
      <c r="K74" s="323">
        <f>IFERROR(IF(AS76+(AS76*$AL$72)=0,"",AS76+(AS76*$AL$72)),"")</f>
        <v/>
      </c>
      <c r="L74" s="323">
        <f>IFERROR(IF(AT76+(AT76*$AL$72)=0,"",AT76+(AT76*$AL$72)),"")</f>
        <v/>
      </c>
      <c r="M74" s="323">
        <f>IFERROR(IF(AU76+(AU76*$AL$72)=0,"",AU76+(AU76*$AL$72)),"")</f>
        <v/>
      </c>
      <c r="N74" s="323">
        <f>IFERROR(IF(AV76+(AV76*$AL$72)=0,"",AV76+(AV76*$AL$72)),"")</f>
        <v/>
      </c>
      <c r="O74" s="323">
        <f>IFERROR(IF(AW76+(AW76*$AL$72)=0,"",AW76+(AW76*$AL$72)),"")</f>
        <v/>
      </c>
      <c r="P74" s="323">
        <f>IFERROR(IF(AX76+(AX76*$AL$72)=0,"",AX76+(AX76*$AL$72)),"")</f>
        <v/>
      </c>
      <c r="R74" s="368" t="n">
        <v>250</v>
      </c>
      <c r="S74" s="323" t="n">
        <v>235.72</v>
      </c>
      <c r="T74" s="213" t="n"/>
      <c r="U74" s="213" t="n"/>
      <c r="V74" s="213" t="n">
        <v>160.98</v>
      </c>
      <c r="W74" s="214" t="n">
        <v>160.98</v>
      </c>
      <c r="X74" s="213" t="n"/>
      <c r="Y74" s="213" t="n"/>
      <c r="Z74" s="216" t="n"/>
      <c r="AJ74" s="183" t="inlineStr">
        <is>
          <t>Insituform</t>
        </is>
      </c>
      <c r="AK74" s="184" t="n">
        <v>4.5</v>
      </c>
      <c r="AL74" s="185" t="n">
        <v>6</v>
      </c>
      <c r="AM74" s="185" t="n">
        <v>7.5</v>
      </c>
      <c r="AN74" s="185" t="n">
        <v>9</v>
      </c>
      <c r="AO74" s="185" t="n">
        <v>10.5</v>
      </c>
      <c r="AP74" s="185" t="n">
        <v>12</v>
      </c>
      <c r="AQ74" s="185" t="n">
        <v>13.5</v>
      </c>
      <c r="AR74" s="185" t="n">
        <v>15</v>
      </c>
      <c r="AS74" s="185" t="n">
        <v>16.5</v>
      </c>
      <c r="AT74" s="185" t="n">
        <v>18</v>
      </c>
      <c r="AU74" s="185" t="n">
        <v>19.5</v>
      </c>
      <c r="AV74" s="185" t="n">
        <v>21</v>
      </c>
      <c r="AW74" s="185" t="n">
        <v>22.5</v>
      </c>
      <c r="AX74" s="186" t="n">
        <v>24</v>
      </c>
    </row>
    <row r="75">
      <c r="B75" s="367" t="n">
        <v>300</v>
      </c>
      <c r="C75" s="323">
        <f>IFERROR(IF(AK77+(AK77*$AL$72)=0,"",AK77+(AK77*$AL$72)),"")</f>
        <v/>
      </c>
      <c r="D75" s="323" t="n">
        <v>48.04</v>
      </c>
      <c r="E75" s="323" t="n">
        <v>54.1</v>
      </c>
      <c r="F75" s="323" t="n">
        <v>59.33</v>
      </c>
      <c r="G75" s="323" t="n">
        <v>66.54000000000001</v>
      </c>
      <c r="H75" s="323">
        <f>IFERROR(IF(AP77+(AP77*$AL$72)=0,"",AP77+(AP77*$AL$72)),"")</f>
        <v/>
      </c>
      <c r="I75" s="323">
        <f>IFERROR(IF(AQ77+(AQ77*$AL$72)=0,"",AQ77+(AQ77*$AL$72)),"")</f>
        <v/>
      </c>
      <c r="J75" s="323">
        <f>IFERROR(IF(AR77+(AR77*$AL$72)=0,"",AR77+(AR77*$AL$72)),"")</f>
        <v/>
      </c>
      <c r="K75" s="323">
        <f>IFERROR(IF(AS77+(AS77*$AL$72)=0,"",AS77+(AS77*$AL$72)),"")</f>
        <v/>
      </c>
      <c r="L75" s="323">
        <f>IFERROR(IF(AT77+(AT77*$AL$72)=0,"",AT77+(AT77*$AL$72)),"")</f>
        <v/>
      </c>
      <c r="M75" s="323">
        <f>IFERROR(IF(AU77+(AU77*$AL$72)=0,"",AU77+(AU77*$AL$72)),"")</f>
        <v/>
      </c>
      <c r="N75" s="323">
        <f>IFERROR(IF(AV77+(AV77*$AL$72)=0,"",AV77+(AV77*$AL$72)),"")</f>
        <v/>
      </c>
      <c r="O75" s="323">
        <f>IFERROR(IF(AW77+(AW77*$AL$72)=0,"",AW77+(AW77*$AL$72)),"")</f>
        <v/>
      </c>
      <c r="P75" s="323">
        <f>IFERROR(IF(AX77+(AX77*$AL$72)=0,"",AX77+(AX77*$AL$72)),"")</f>
        <v/>
      </c>
      <c r="R75" s="368" t="n">
        <v>300</v>
      </c>
      <c r="S75" s="323" t="n">
        <v>252.96</v>
      </c>
      <c r="T75" s="213" t="n"/>
      <c r="U75" s="213" t="n"/>
      <c r="V75" s="213" t="n">
        <v>160.98</v>
      </c>
      <c r="W75" s="214" t="n">
        <v>160.98</v>
      </c>
      <c r="X75" s="213" t="n"/>
      <c r="Y75" s="213" t="n"/>
      <c r="Z75" s="216" t="n"/>
      <c r="AJ75" s="187" t="n">
        <v>200</v>
      </c>
      <c r="AK75" s="188" t="n">
        <v>29.08</v>
      </c>
      <c r="AL75" s="189" t="n">
        <v>33.92</v>
      </c>
      <c r="AM75" s="189" t="n">
        <v>37.66</v>
      </c>
      <c r="AN75" s="189" t="n"/>
      <c r="AO75" s="189" t="n"/>
      <c r="AP75" s="189" t="n"/>
      <c r="AQ75" s="189" t="n"/>
      <c r="AR75" s="189" t="n"/>
      <c r="AS75" s="189" t="n"/>
      <c r="AT75" s="189" t="n"/>
      <c r="AU75" s="189" t="n"/>
      <c r="AV75" s="189" t="n"/>
      <c r="AW75" s="189" t="n"/>
      <c r="AX75" s="190" t="n"/>
    </row>
    <row r="76">
      <c r="B76" s="367" t="n">
        <v>350</v>
      </c>
      <c r="C76" s="323">
        <f>IFERROR(IF(AK78+(AK78*$AL$72)=0,"",AK78+(AK78*$AL$72)),"")</f>
        <v/>
      </c>
      <c r="D76" s="323" t="n">
        <v>53.57</v>
      </c>
      <c r="E76" s="323" t="n">
        <v>60.73</v>
      </c>
      <c r="F76" s="323" t="n">
        <v>66.92</v>
      </c>
      <c r="G76" s="323" t="n">
        <v>76.15000000000001</v>
      </c>
      <c r="H76" s="323" t="n">
        <v>81.40000000000001</v>
      </c>
      <c r="I76" s="323">
        <f>IFERROR(IF(AQ78+(AQ78*$AL$72)=0,"",AQ78+(AQ78*$AL$72)),"")</f>
        <v/>
      </c>
      <c r="J76" s="323">
        <f>IFERROR(IF(AR78+(AR78*$AL$72)=0,"",AR78+(AR78*$AL$72)),"")</f>
        <v/>
      </c>
      <c r="K76" s="323">
        <f>IFERROR(IF(AS78+(AS78*$AL$72)=0,"",AS78+(AS78*$AL$72)),"")</f>
        <v/>
      </c>
      <c r="L76" s="323">
        <f>IFERROR(IF(AT78+(AT78*$AL$72)=0,"",AT78+(AT78*$AL$72)),"")</f>
        <v/>
      </c>
      <c r="M76" s="323">
        <f>IFERROR(IF(AU78+(AU78*$AL$72)=0,"",AU78+(AU78*$AL$72)),"")</f>
        <v/>
      </c>
      <c r="N76" s="323">
        <f>IFERROR(IF(AV78+(AV78*$AL$72)=0,"",AV78+(AV78*$AL$72)),"")</f>
        <v/>
      </c>
      <c r="O76" s="323">
        <f>IFERROR(IF(AW78+(AW78*$AL$72)=0,"",AW78+(AW78*$AL$72)),"")</f>
        <v/>
      </c>
      <c r="P76" s="323">
        <f>IFERROR(IF(AX78+(AX78*$AL$72)=0,"",AX78+(AX78*$AL$72)),"")</f>
        <v/>
      </c>
      <c r="R76" s="368" t="n">
        <v>350</v>
      </c>
      <c r="S76" s="323" t="n">
        <v>264.46</v>
      </c>
      <c r="T76" s="213" t="n"/>
      <c r="U76" s="213" t="n"/>
      <c r="V76" s="213" t="n">
        <v>160.98</v>
      </c>
      <c r="W76" s="214" t="n">
        <v>160.98</v>
      </c>
      <c r="X76" s="213" t="n"/>
      <c r="Y76" s="213" t="n"/>
      <c r="Z76" s="216" t="n"/>
      <c r="AJ76" s="191" t="n">
        <v>250</v>
      </c>
      <c r="AK76" s="192" t="n"/>
      <c r="AL76" s="193" t="n">
        <v>39</v>
      </c>
      <c r="AM76" s="193" t="n">
        <v>43.69</v>
      </c>
      <c r="AN76" s="193" t="n">
        <v>47.7</v>
      </c>
      <c r="AO76" s="193" t="n"/>
      <c r="AP76" s="193" t="n"/>
      <c r="AQ76" s="193" t="n"/>
      <c r="AR76" s="193" t="n"/>
      <c r="AS76" s="193" t="n"/>
      <c r="AT76" s="193" t="n"/>
      <c r="AU76" s="193" t="n"/>
      <c r="AV76" s="193" t="n"/>
      <c r="AW76" s="193" t="n"/>
      <c r="AX76" s="194" t="n"/>
    </row>
    <row r="77">
      <c r="B77" s="367" t="n">
        <v>400</v>
      </c>
      <c r="C77" s="323">
        <f>IFERROR(IF(AK79+(AK79*$AL$72)=0,"",AK79+(AK79*$AL$72)),"")</f>
        <v/>
      </c>
      <c r="D77" s="323">
        <f>IFERROR(IF(AL79+(AL79*$AL$72)=0,"",AL79+(AL79*$AL$72)),"")</f>
        <v/>
      </c>
      <c r="E77" s="323" t="n">
        <v>66.65000000000001</v>
      </c>
      <c r="F77" s="323" t="n">
        <v>74</v>
      </c>
      <c r="G77" s="323" t="n">
        <v>84.26000000000001</v>
      </c>
      <c r="H77" s="323" t="n">
        <v>90.45999999999999</v>
      </c>
      <c r="I77" s="323">
        <f>IFERROR(IF(AQ79+(AQ79*$AL$72)=0,"",AQ79+(AQ79*$AL$72)),"")</f>
        <v/>
      </c>
      <c r="J77" s="323">
        <f>IFERROR(IF(AR79+(AR79*$AL$72)=0,"",AR79+(AR79*$AL$72)),"")</f>
        <v/>
      </c>
      <c r="K77" s="323">
        <f>IFERROR(IF(AS79+(AS79*$AL$72)=0,"",AS79+(AS79*$AL$72)),"")</f>
        <v/>
      </c>
      <c r="L77" s="323">
        <f>IFERROR(IF(AT79+(AT79*$AL$72)=0,"",AT79+(AT79*$AL$72)),"")</f>
        <v/>
      </c>
      <c r="M77" s="323">
        <f>IFERROR(IF(AU79+(AU79*$AL$72)=0,"",AU79+(AU79*$AL$72)),"")</f>
        <v/>
      </c>
      <c r="N77" s="323">
        <f>IFERROR(IF(AV79+(AV79*$AL$72)=0,"",AV79+(AV79*$AL$72)),"")</f>
        <v/>
      </c>
      <c r="O77" s="323">
        <f>IFERROR(IF(AW79+(AW79*$AL$72)=0,"",AW79+(AW79*$AL$72)),"")</f>
        <v/>
      </c>
      <c r="P77" s="323">
        <f>IFERROR(IF(AX79+(AX79*$AL$72)=0,"",AX79+(AX79*$AL$72)),"")</f>
        <v/>
      </c>
      <c r="R77" s="368" t="n">
        <v>400</v>
      </c>
      <c r="S77" s="323" t="n">
        <v>264.46</v>
      </c>
      <c r="T77" s="213" t="n"/>
      <c r="U77" s="213" t="n"/>
      <c r="V77" s="213" t="n">
        <v>166.73</v>
      </c>
      <c r="W77" s="214" t="n">
        <v>166.73</v>
      </c>
      <c r="X77" s="213" t="n"/>
      <c r="Y77" s="213" t="n"/>
      <c r="Z77" s="216" t="n"/>
      <c r="AJ77" s="191" t="n">
        <v>300</v>
      </c>
      <c r="AK77" s="192" t="n"/>
      <c r="AL77" s="193" t="n">
        <v>44.15</v>
      </c>
      <c r="AM77" s="193" t="n">
        <v>49.71</v>
      </c>
      <c r="AN77" s="193" t="n">
        <v>54.52</v>
      </c>
      <c r="AO77" s="193" t="n">
        <v>61.14</v>
      </c>
      <c r="AP77" s="193" t="n"/>
      <c r="AQ77" s="193" t="n"/>
      <c r="AR77" s="193" t="n"/>
      <c r="AS77" s="193" t="n"/>
      <c r="AT77" s="193" t="n"/>
      <c r="AU77" s="193" t="n"/>
      <c r="AV77" s="193" t="n"/>
      <c r="AW77" s="193" t="n"/>
      <c r="AX77" s="194" t="n"/>
    </row>
    <row r="78">
      <c r="B78" s="367" t="n">
        <v>450</v>
      </c>
      <c r="C78" s="323">
        <f>IFERROR(IF(AK80+(AK80*$AL$72)=0,"",AK80+(AK80*$AL$72)),"")</f>
        <v/>
      </c>
      <c r="D78" s="323">
        <f>IFERROR(IF(AL80+(AL80*$AL$72)=0,"",AL80+(AL80*$AL$72)),"")</f>
        <v/>
      </c>
      <c r="E78" s="323" t="n">
        <v>73.34</v>
      </c>
      <c r="F78" s="323" t="n">
        <v>81.7</v>
      </c>
      <c r="G78" s="323" t="n">
        <v>92.88</v>
      </c>
      <c r="H78" s="323" t="n">
        <v>99.93000000000001</v>
      </c>
      <c r="I78" s="323" t="n">
        <v>108.89</v>
      </c>
      <c r="J78" s="323">
        <f>IFERROR(IF(AR80+(AR80*$AL$72)=0,"",AR80+(AR80*$AL$72)),"")</f>
        <v/>
      </c>
      <c r="K78" s="323">
        <f>IFERROR(IF(AS80+(AS80*$AL$72)=0,"",AS80+(AS80*$AL$72)),"")</f>
        <v/>
      </c>
      <c r="L78" s="323">
        <f>IFERROR(IF(AT80+(AT80*$AL$72)=0,"",AT80+(AT80*$AL$72)),"")</f>
        <v/>
      </c>
      <c r="M78" s="323">
        <f>IFERROR(IF(AU80+(AU80*$AL$72)=0,"",AU80+(AU80*$AL$72)),"")</f>
        <v/>
      </c>
      <c r="N78" s="323">
        <f>IFERROR(IF(AV80+(AV80*$AL$72)=0,"",AV80+(AV80*$AL$72)),"")</f>
        <v/>
      </c>
      <c r="O78" s="323">
        <f>IFERROR(IF(AW80+(AW80*$AL$72)=0,"",AW80+(AW80*$AL$72)),"")</f>
        <v/>
      </c>
      <c r="P78" s="323">
        <f>IFERROR(IF(AX80+(AX80*$AL$72)=0,"",AX80+(AX80*$AL$72)),"")</f>
        <v/>
      </c>
      <c r="R78" s="368" t="n">
        <v>450</v>
      </c>
      <c r="S78" s="323" t="n">
        <v>289.96</v>
      </c>
      <c r="T78" s="213" t="n"/>
      <c r="U78" s="213" t="n"/>
      <c r="V78" s="213" t="n">
        <v>189.72</v>
      </c>
      <c r="W78" s="214" t="n">
        <v>189.72</v>
      </c>
      <c r="X78" s="213" t="n"/>
      <c r="Y78" s="213" t="n"/>
      <c r="Z78" s="216" t="n"/>
      <c r="AJ78" s="191" t="n">
        <v>350</v>
      </c>
      <c r="AK78" s="192" t="n"/>
      <c r="AL78" s="193" t="n">
        <v>49.23</v>
      </c>
      <c r="AM78" s="193" t="n">
        <v>55.81</v>
      </c>
      <c r="AN78" s="193" t="n">
        <v>61.49</v>
      </c>
      <c r="AO78" s="193" t="n">
        <v>69.98</v>
      </c>
      <c r="AP78" s="193" t="n">
        <v>74.81</v>
      </c>
      <c r="AQ78" s="193" t="n"/>
      <c r="AR78" s="193" t="n"/>
      <c r="AS78" s="193" t="n"/>
      <c r="AT78" s="193" t="n"/>
      <c r="AU78" s="193" t="n"/>
      <c r="AV78" s="193" t="n"/>
      <c r="AW78" s="193" t="n"/>
      <c r="AX78" s="194" t="n"/>
    </row>
    <row r="79">
      <c r="B79" s="367" t="n">
        <v>500</v>
      </c>
      <c r="C79" s="323">
        <f>IFERROR(IF(AK81+(AK81*$AL$72)=0,"",AK81+(AK81*$AL$72)),"")</f>
        <v/>
      </c>
      <c r="D79" s="323">
        <f>IFERROR(IF(AL81+(AL81*$AL$72)=0,"",AL81+(AL81*$AL$72)),"")</f>
        <v/>
      </c>
      <c r="E79" s="323">
        <f>IFERROR(IF(AM81+(AM81*$AL$72)=0,"",AM81+(AM81*$AL$72)),"")</f>
        <v/>
      </c>
      <c r="F79" s="323" t="n">
        <v>89.61</v>
      </c>
      <c r="G79" s="323" t="n">
        <v>101.96</v>
      </c>
      <c r="H79" s="323" t="n">
        <v>109.89</v>
      </c>
      <c r="I79" s="323" t="n">
        <v>119.95</v>
      </c>
      <c r="J79" s="323" t="n">
        <v>128.83</v>
      </c>
      <c r="K79" s="323">
        <f>IFERROR(IF(AS81+(AS81*$AL$72)=0,"",AS81+(AS81*$AL$72)),"")</f>
        <v/>
      </c>
      <c r="L79" s="323">
        <f>IFERROR(IF(AT81+(AT81*$AL$72)=0,"",AT81+(AT81*$AL$72)),"")</f>
        <v/>
      </c>
      <c r="M79" s="323">
        <f>IFERROR(IF(AU81+(AU81*$AL$72)=0,"",AU81+(AU81*$AL$72)),"")</f>
        <v/>
      </c>
      <c r="N79" s="323">
        <f>IFERROR(IF(AV81+(AV81*$AL$72)=0,"",AV81+(AV81*$AL$72)),"")</f>
        <v/>
      </c>
      <c r="O79" s="323">
        <f>IFERROR(IF(AW81+(AW81*$AL$72)=0,"",AW81+(AW81*$AL$72)),"")</f>
        <v/>
      </c>
      <c r="P79" s="323">
        <f>IFERROR(IF(AX81+(AX81*$AL$72)=0,"",AX81+(AX81*$AL$72)),"")</f>
        <v/>
      </c>
      <c r="R79" s="368" t="n">
        <v>500</v>
      </c>
      <c r="S79" s="323" t="n">
        <v>327.7</v>
      </c>
      <c r="T79" s="213" t="n"/>
      <c r="U79" s="213" t="n"/>
      <c r="V79" s="213" t="n">
        <v>195.47</v>
      </c>
      <c r="W79" s="214" t="n">
        <v>195.47</v>
      </c>
      <c r="X79" s="213" t="n"/>
      <c r="Y79" s="213" t="n"/>
      <c r="Z79" s="216" t="n"/>
      <c r="AJ79" s="191" t="n">
        <v>400</v>
      </c>
      <c r="AK79" s="192" t="n"/>
      <c r="AL79" s="193" t="n"/>
      <c r="AM79" s="193" t="n">
        <v>61.25</v>
      </c>
      <c r="AN79" s="193" t="n">
        <v>68</v>
      </c>
      <c r="AO79" s="193" t="n">
        <v>77.43000000000001</v>
      </c>
      <c r="AP79" s="193" t="n">
        <v>83.13</v>
      </c>
      <c r="AQ79" s="193" t="n"/>
      <c r="AR79" s="193" t="n"/>
      <c r="AS79" s="193" t="n"/>
      <c r="AT79" s="193" t="n"/>
      <c r="AU79" s="193" t="n"/>
      <c r="AV79" s="193" t="n"/>
      <c r="AW79" s="193" t="n"/>
      <c r="AX79" s="194" t="n"/>
    </row>
    <row r="80">
      <c r="B80" s="367" t="n">
        <v>550</v>
      </c>
      <c r="C80" s="323">
        <f>IFERROR(IF(AK82+(AK82*$AL$72)=0,"",AK82+(AK82*$AL$72)),"")</f>
        <v/>
      </c>
      <c r="D80" s="323">
        <f>IFERROR(IF(AL82+(AL82*$AL$72)=0,"",AL82+(AL82*$AL$72)),"")</f>
        <v/>
      </c>
      <c r="E80" s="323">
        <f>IFERROR(IF(AM82+(AM82*$AL$72)=0,"",AM82+(AM82*$AL$72)),"")</f>
        <v/>
      </c>
      <c r="F80" s="323" t="n">
        <v>97.45999999999999</v>
      </c>
      <c r="G80" s="323" t="n">
        <v>110.77</v>
      </c>
      <c r="H80" s="323" t="n">
        <v>119.87</v>
      </c>
      <c r="I80" s="323" t="n">
        <v>130.98</v>
      </c>
      <c r="J80" s="323" t="n">
        <v>140.72</v>
      </c>
      <c r="K80" s="323">
        <f>IFERROR(IF(AS82+(AS82*$AL$72)=0,"",AS82+(AS82*$AL$72)),"")</f>
        <v/>
      </c>
      <c r="L80" s="323">
        <f>IFERROR(IF(AT82+(AT82*$AL$72)=0,"",AT82+(AT82*$AL$72)),"")</f>
        <v/>
      </c>
      <c r="M80" s="323">
        <f>IFERROR(IF(AU82+(AU82*$AL$72)=0,"",AU82+(AU82*$AL$72)),"")</f>
        <v/>
      </c>
      <c r="N80" s="323">
        <f>IFERROR(IF(AV82+(AV82*$AL$72)=0,"",AV82+(AV82*$AL$72)),"")</f>
        <v/>
      </c>
      <c r="O80" s="323">
        <f>IFERROR(IF(AW82+(AW82*$AL$72)=0,"",AW82+(AW82*$AL$72)),"")</f>
        <v/>
      </c>
      <c r="P80" s="323">
        <f>IFERROR(IF(AX82+(AX82*$AL$72)=0,"",AX82+(AX82*$AL$72)),"")</f>
        <v/>
      </c>
      <c r="R80" s="368" t="n">
        <v>550</v>
      </c>
      <c r="S80" s="323" t="n">
        <v>327.7</v>
      </c>
      <c r="T80" s="213" t="n"/>
      <c r="U80" s="213" t="n"/>
      <c r="V80" s="213" t="n">
        <v>195.47</v>
      </c>
      <c r="W80" s="214" t="n">
        <v>195.47</v>
      </c>
      <c r="X80" s="213" t="n"/>
      <c r="Y80" s="213" t="n"/>
      <c r="Z80" s="216" t="n"/>
      <c r="AJ80" s="191" t="n">
        <v>450</v>
      </c>
      <c r="AK80" s="192" t="n"/>
      <c r="AL80" s="193" t="n"/>
      <c r="AM80" s="193" t="n">
        <v>67.40000000000001</v>
      </c>
      <c r="AN80" s="193" t="n">
        <v>75.08</v>
      </c>
      <c r="AO80" s="193" t="n">
        <v>85.34999999999999</v>
      </c>
      <c r="AP80" s="193" t="n">
        <v>91.83</v>
      </c>
      <c r="AQ80" s="193" t="n">
        <v>100.07</v>
      </c>
      <c r="AR80" s="193" t="n"/>
      <c r="AS80" s="193" t="n"/>
      <c r="AT80" s="193" t="n"/>
      <c r="AU80" s="193" t="n"/>
      <c r="AV80" s="193" t="n"/>
      <c r="AW80" s="193" t="n"/>
      <c r="AX80" s="194" t="n"/>
    </row>
    <row r="81">
      <c r="B81" s="367" t="n">
        <v>600</v>
      </c>
      <c r="C81" s="323">
        <f>IFERROR(IF(AK83+(AK83*$AL$72)=0,"",AK83+(AK83*$AL$72)),"")</f>
        <v/>
      </c>
      <c r="D81" s="323">
        <f>IFERROR(IF(AL83+(AL83*$AL$72)=0,"",AL83+(AL83*$AL$72)),"")</f>
        <v/>
      </c>
      <c r="E81" s="323">
        <f>IFERROR(IF(AM83+(AM83*$AL$72)=0,"",AM83+(AM83*$AL$72)),"")</f>
        <v/>
      </c>
      <c r="F81" s="323" t="n">
        <v>103.87</v>
      </c>
      <c r="G81" s="323" t="n">
        <v>117.99</v>
      </c>
      <c r="H81" s="323" t="n">
        <v>128</v>
      </c>
      <c r="I81" s="323" t="n">
        <v>139.87</v>
      </c>
      <c r="J81" s="323" t="n">
        <v>150.76</v>
      </c>
      <c r="K81" s="323">
        <f>IFERROR(IF(AS83+(AS83*$AL$72)=0,"",AS83+(AS83*$AL$72)),"")</f>
        <v/>
      </c>
      <c r="L81" s="323">
        <f>IFERROR(IF(AT83+(AT83*$AL$72)=0,"",AT83+(AT83*$AL$72)),"")</f>
        <v/>
      </c>
      <c r="M81" s="323">
        <f>IFERROR(IF(AU83+(AU83*$AL$72)=0,"",AU83+(AU83*$AL$72)),"")</f>
        <v/>
      </c>
      <c r="N81" s="323">
        <f>IFERROR(IF(AV83+(AV83*$AL$72)=0,"",AV83+(AV83*$AL$72)),"")</f>
        <v/>
      </c>
      <c r="O81" s="323">
        <f>IFERROR(IF(AW83+(AW83*$AL$72)=0,"",AW83+(AW83*$AL$72)),"")</f>
        <v/>
      </c>
      <c r="P81" s="323">
        <f>IFERROR(IF(AX83+(AX83*$AL$72)=0,"",AX83+(AX83*$AL$72)),"")</f>
        <v/>
      </c>
      <c r="R81" s="368" t="n">
        <v>600</v>
      </c>
      <c r="S81" s="323" t="n">
        <v>344.95</v>
      </c>
      <c r="T81" s="213" t="n"/>
      <c r="U81" s="213" t="n"/>
      <c r="V81" s="213" t="n">
        <v>252.96</v>
      </c>
      <c r="W81" s="214" t="n">
        <v>252.96</v>
      </c>
      <c r="X81" s="213" t="n">
        <v>574.92</v>
      </c>
      <c r="Y81" s="213" t="n">
        <v>80</v>
      </c>
      <c r="Z81" s="216" t="n"/>
      <c r="AJ81" s="191" t="n">
        <v>500</v>
      </c>
      <c r="AK81" s="192" t="n"/>
      <c r="AL81" s="193" t="n"/>
      <c r="AM81" s="193" t="n"/>
      <c r="AN81" s="193" t="n">
        <v>82.34999999999999</v>
      </c>
      <c r="AO81" s="193" t="n">
        <v>93.7</v>
      </c>
      <c r="AP81" s="193" t="n">
        <v>100.99</v>
      </c>
      <c r="AQ81" s="193" t="n">
        <v>110.23</v>
      </c>
      <c r="AR81" s="193" t="n">
        <v>118.39</v>
      </c>
      <c r="AS81" s="193" t="n"/>
      <c r="AT81" s="193" t="n"/>
      <c r="AU81" s="193" t="n"/>
      <c r="AV81" s="193" t="n"/>
      <c r="AW81" s="193" t="n"/>
      <c r="AX81" s="194" t="n"/>
    </row>
    <row r="82">
      <c r="B82" s="367" t="n">
        <v>650</v>
      </c>
      <c r="C82" s="323">
        <f>IFERROR(IF(AK84+(AK84*$AL$72)=0,"",AK84+(AK84*$AL$72)),"")</f>
        <v/>
      </c>
      <c r="D82" s="323">
        <f>IFERROR(IF(AL84+(AL84*$AL$72)=0,"",AL84+(AL84*$AL$72)),"")</f>
        <v/>
      </c>
      <c r="E82" s="323">
        <f>IFERROR(IF(AM84+(AM84*$AL$72)=0,"",AM84+(AM84*$AL$72)),"")</f>
        <v/>
      </c>
      <c r="F82" s="323">
        <f>IFERROR(IF(AN84+(AN84*$AL$72)=0,"",AN84+(AN84*$AL$72)),"")</f>
        <v/>
      </c>
      <c r="G82" s="323" t="n">
        <v>126.88</v>
      </c>
      <c r="H82" s="323" t="n">
        <v>137.56</v>
      </c>
      <c r="I82" s="323" t="n">
        <v>150.533</v>
      </c>
      <c r="J82" s="323" t="n">
        <v>162.11</v>
      </c>
      <c r="K82" s="323" t="n">
        <v>178.08</v>
      </c>
      <c r="L82" s="323">
        <f>IFERROR(IF(AT84+(AT84*$AL$72)=0,"",AT84+(AT84*$AL$72)),"")</f>
        <v/>
      </c>
      <c r="M82" s="323">
        <f>IFERROR(IF(AU84+(AU84*$AL$72)=0,"",AU84+(AU84*$AL$72)),"")</f>
        <v/>
      </c>
      <c r="N82" s="323">
        <f>IFERROR(IF(AV84+(AV84*$AL$72)=0,"",AV84+(AV84*$AL$72)),"")</f>
        <v/>
      </c>
      <c r="O82" s="323">
        <f>IFERROR(IF(AW84+(AW84*$AL$72)=0,"",AW84+(AW84*$AL$72)),"")</f>
        <v/>
      </c>
      <c r="P82" s="323">
        <f>IFERROR(IF(AX84+(AX84*$AL$72)=0,"",AX84+(AX84*$AL$72)),"")</f>
        <v/>
      </c>
      <c r="R82" s="368" t="n">
        <v>650</v>
      </c>
      <c r="S82" s="323" t="n">
        <v>344.95</v>
      </c>
      <c r="T82" s="213" t="n"/>
      <c r="U82" s="213" t="n"/>
      <c r="V82" s="213" t="n">
        <v>252.96</v>
      </c>
      <c r="W82" s="214" t="n">
        <v>252.96</v>
      </c>
      <c r="X82" s="213" t="n">
        <v>574.92</v>
      </c>
      <c r="Y82" s="213" t="n">
        <v>80</v>
      </c>
      <c r="Z82" s="216" t="n"/>
      <c r="AJ82" s="191" t="n">
        <v>550</v>
      </c>
      <c r="AK82" s="192" t="n"/>
      <c r="AL82" s="193" t="n"/>
      <c r="AM82" s="193" t="n"/>
      <c r="AN82" s="193" t="n">
        <v>89.56</v>
      </c>
      <c r="AO82" s="193" t="n">
        <v>101.8</v>
      </c>
      <c r="AP82" s="193" t="n">
        <v>110.16</v>
      </c>
      <c r="AQ82" s="193" t="n">
        <v>120.36</v>
      </c>
      <c r="AR82" s="193" t="n">
        <v>129.32</v>
      </c>
      <c r="AS82" s="193" t="n"/>
      <c r="AT82" s="193" t="n"/>
      <c r="AU82" s="193" t="n"/>
      <c r="AV82" s="193" t="n"/>
      <c r="AW82" s="193" t="n"/>
      <c r="AX82" s="194" t="n"/>
    </row>
    <row r="83">
      <c r="B83" s="367" t="n">
        <v>700</v>
      </c>
      <c r="C83" s="323">
        <f>IFERROR(IF(AK85+(AK85*$AL$72)=0,"",AK85+(AK85*$AL$72)),"")</f>
        <v/>
      </c>
      <c r="D83" s="323">
        <f>IFERROR(IF(AL85+(AL85*$AL$72)=0,"",AL85+(AL85*$AL$72)),"")</f>
        <v/>
      </c>
      <c r="E83" s="323">
        <f>IFERROR(IF(AM85+(AM85*$AL$72)=0,"",AM85+(AM85*$AL$72)),"")</f>
        <v/>
      </c>
      <c r="F83" s="323">
        <f>IFERROR(IF(AN85+(AN85*$AL$72)=0,"",AN85+(AN85*$AL$72)),"")</f>
        <v/>
      </c>
      <c r="G83" s="323" t="n">
        <v>135.77</v>
      </c>
      <c r="H83" s="323" t="n">
        <v>146.72</v>
      </c>
      <c r="I83" s="323" t="n">
        <v>160.79</v>
      </c>
      <c r="J83" s="323" t="n">
        <v>173.3</v>
      </c>
      <c r="K83" s="323" t="n">
        <v>190.45</v>
      </c>
      <c r="L83" s="323">
        <f>IFERROR(IF(AT85+(AT85*$AL$72)=0,"",AT85+(AT85*$AL$72)),"")</f>
        <v/>
      </c>
      <c r="M83" s="323">
        <f>IFERROR(IF(AU85+(AU85*$AL$72)=0,"",AU85+(AU85*$AL$72)),"")</f>
        <v/>
      </c>
      <c r="N83" s="323">
        <f>IFERROR(IF(AV85+(AV85*$AL$72)=0,"",AV85+(AV85*$AL$72)),"")</f>
        <v/>
      </c>
      <c r="O83" s="323">
        <f>IFERROR(IF(AW85+(AW85*$AL$72)=0,"",AW85+(AW85*$AL$72)),"")</f>
        <v/>
      </c>
      <c r="P83" s="323">
        <f>IFERROR(IF(AX85+(AX85*$AL$72)=0,"",AX85+(AX85*$AL$72)),"")</f>
        <v/>
      </c>
      <c r="R83" s="368" t="n">
        <v>700</v>
      </c>
      <c r="S83" s="323" t="n">
        <v>379.45</v>
      </c>
      <c r="T83" s="213" t="n"/>
      <c r="U83" s="213" t="n"/>
      <c r="V83" s="213" t="n">
        <v>321.96</v>
      </c>
      <c r="W83" s="214" t="n">
        <v>321.96</v>
      </c>
      <c r="X83" s="213" t="n">
        <v>574.92</v>
      </c>
      <c r="Y83" s="213" t="n">
        <v>50</v>
      </c>
      <c r="Z83" s="216" t="n"/>
      <c r="AJ83" s="191" t="n">
        <v>600</v>
      </c>
      <c r="AK83" s="192" t="n"/>
      <c r="AL83" s="193" t="n"/>
      <c r="AM83" s="193" t="n"/>
      <c r="AN83" s="193" t="n">
        <v>95.45</v>
      </c>
      <c r="AO83" s="193" t="n">
        <v>108.42</v>
      </c>
      <c r="AP83" s="193" t="n">
        <v>117.62</v>
      </c>
      <c r="AQ83" s="193" t="n">
        <v>128.54</v>
      </c>
      <c r="AR83" s="193" t="n">
        <v>138.54</v>
      </c>
      <c r="AS83" s="193" t="n"/>
      <c r="AT83" s="193" t="n"/>
      <c r="AU83" s="193" t="n"/>
      <c r="AV83" s="193" t="n"/>
      <c r="AW83" s="193" t="n"/>
      <c r="AX83" s="194" t="n"/>
    </row>
    <row r="84">
      <c r="B84" s="367" t="n">
        <v>750</v>
      </c>
      <c r="C84" s="323">
        <f>IFERROR(IF(AK86+(AK86*$AL$72)=0,"",AK86+(AK86*$AL$72)),"")</f>
        <v/>
      </c>
      <c r="D84" s="323">
        <f>IFERROR(IF(AL86+(AL86*$AL$72)=0,"",AL86+(AL86*$AL$72)),"")</f>
        <v/>
      </c>
      <c r="E84" s="323">
        <f>IFERROR(IF(AM86+(AM86*$AL$72)=0,"",AM86+(AM86*$AL$72)),"")</f>
        <v/>
      </c>
      <c r="F84" s="323">
        <f>IFERROR(IF(AN86+(AN86*$AL$72)=0,"",AN86+(AN86*$AL$72)),"")</f>
        <v/>
      </c>
      <c r="G84" s="323">
        <f>IFERROR(IF(AO86+(AO86*$AL$72)=0,"",AO86+(AO86*$AL$72)),"")</f>
        <v/>
      </c>
      <c r="H84" s="323" t="n">
        <v>156.31</v>
      </c>
      <c r="I84" s="323" t="n">
        <v>171.45</v>
      </c>
      <c r="J84" s="323" t="n">
        <v>184.81</v>
      </c>
      <c r="K84" s="323" t="n">
        <v>203.06</v>
      </c>
      <c r="L84" s="323" t="n">
        <v>216.57</v>
      </c>
      <c r="M84" s="369" t="n"/>
      <c r="N84" s="323">
        <f>IFERROR(IF(AV86+(AV86*$AL$72)=0,"",AV86+(AV86*$AL$72)),"")</f>
        <v/>
      </c>
      <c r="O84" s="323">
        <f>IFERROR(IF(AW86+(AW86*$AL$72)=0,"",AW86+(AW86*$AL$72)),"")</f>
        <v/>
      </c>
      <c r="P84" s="323">
        <f>IFERROR(IF(AX86+(AX86*$AL$72)=0,"",AX86+(AX86*$AL$72)),"")</f>
        <v/>
      </c>
      <c r="R84" s="368" t="n">
        <v>750</v>
      </c>
      <c r="S84" s="323" t="n">
        <v>379.45</v>
      </c>
      <c r="T84" s="213" t="n"/>
      <c r="U84" s="213" t="n"/>
      <c r="V84" s="213" t="n">
        <v>321.96</v>
      </c>
      <c r="W84" s="214" t="n">
        <v>321.96</v>
      </c>
      <c r="X84" s="213" t="n">
        <v>574.92</v>
      </c>
      <c r="Y84" s="213" t="n">
        <v>50</v>
      </c>
      <c r="Z84" s="216" t="n"/>
      <c r="AJ84" s="191" t="n">
        <v>650</v>
      </c>
      <c r="AK84" s="192" t="n"/>
      <c r="AL84" s="193" t="n"/>
      <c r="AM84" s="193" t="n"/>
      <c r="AN84" s="193" t="n"/>
      <c r="AO84" s="193" t="n">
        <v>116.59</v>
      </c>
      <c r="AP84" s="193" t="n">
        <v>126.41</v>
      </c>
      <c r="AQ84" s="193" t="n">
        <v>138.33</v>
      </c>
      <c r="AR84" s="193" t="n">
        <v>148.97</v>
      </c>
      <c r="AS84" s="193" t="n">
        <v>163.65</v>
      </c>
      <c r="AT84" s="193" t="n"/>
      <c r="AU84" s="193" t="n"/>
      <c r="AV84" s="193" t="n"/>
      <c r="AW84" s="193" t="n"/>
      <c r="AX84" s="194" t="n"/>
    </row>
    <row r="85">
      <c r="B85" s="367" t="n">
        <v>800</v>
      </c>
      <c r="C85" s="323">
        <f>IFERROR(IF(AK87+(AK87*$AL$72)=0,"",AK87+(AK87*$AL$72)),"")</f>
        <v/>
      </c>
      <c r="D85" s="323">
        <f>IFERROR(IF(AL87+(AL87*$AL$72)=0,"",AL87+(AL87*$AL$72)),"")</f>
        <v/>
      </c>
      <c r="E85" s="323">
        <f>IFERROR(IF(AM87+(AM87*$AL$72)=0,"",AM87+(AM87*$AL$72)),"")</f>
        <v/>
      </c>
      <c r="F85" s="323">
        <f>IFERROR(IF(AN87+(AN87*$AL$72)=0,"",AN87+(AN87*$AL$72)),"")</f>
        <v/>
      </c>
      <c r="G85" s="323">
        <f>IFERROR(IF(AO87+(AO87*$AL$72)=0,"",AO87+(AO87*$AL$72)),"")</f>
        <v/>
      </c>
      <c r="H85" s="323" t="n">
        <v>165.94</v>
      </c>
      <c r="I85" s="323" t="n">
        <v>183.29</v>
      </c>
      <c r="J85" s="323" t="n">
        <v>197.99</v>
      </c>
      <c r="K85" s="323" t="n">
        <v>217.33</v>
      </c>
      <c r="L85" s="323" t="n">
        <v>230.35</v>
      </c>
      <c r="M85" s="323">
        <f>IFERROR(IF(AU87+(AU87*$AL$72)=0,"",AU87+(AU87*$AL$72)),"")</f>
        <v/>
      </c>
      <c r="N85" s="323">
        <f>IFERROR(IF(AV87+(AV87*$AL$72)=0,"",AV87+(AV87*$AL$72)),"")</f>
        <v/>
      </c>
      <c r="O85" s="323">
        <f>IFERROR(IF(AW87+(AW87*$AL$72)=0,"",AW87+(AW87*$AL$72)),"")</f>
        <v/>
      </c>
      <c r="P85" s="323">
        <f>IFERROR(IF(AX87+(AX87*$AL$72)=0,"",AX87+(AX87*$AL$72)),"")</f>
        <v/>
      </c>
      <c r="R85" s="368" t="n">
        <v>800</v>
      </c>
      <c r="S85" s="323" t="n">
        <v>402.44</v>
      </c>
      <c r="T85" s="213" t="n"/>
      <c r="U85" s="213" t="n"/>
      <c r="V85" s="213" t="n">
        <v>385.2</v>
      </c>
      <c r="W85" s="214" t="n">
        <v>385.2</v>
      </c>
      <c r="X85" s="213" t="n">
        <v>574.92</v>
      </c>
      <c r="Y85" s="213" t="n">
        <v>50</v>
      </c>
      <c r="Z85" s="216" t="n"/>
      <c r="AJ85" s="191" t="n">
        <v>700</v>
      </c>
      <c r="AK85" s="192" t="n"/>
      <c r="AL85" s="193" t="n"/>
      <c r="AM85" s="193" t="n"/>
      <c r="AN85" s="193" t="n"/>
      <c r="AO85" s="193" t="n">
        <v>124.76</v>
      </c>
      <c r="AP85" s="193" t="n">
        <v>134.83</v>
      </c>
      <c r="AQ85" s="193" t="n">
        <v>147.76</v>
      </c>
      <c r="AR85" s="193" t="n">
        <v>159.25</v>
      </c>
      <c r="AS85" s="193" t="n">
        <v>175.02</v>
      </c>
      <c r="AT85" s="193" t="n"/>
      <c r="AU85" s="193" t="n"/>
      <c r="AV85" s="193" t="n"/>
      <c r="AW85" s="193" t="n"/>
      <c r="AX85" s="194" t="n"/>
    </row>
    <row r="86">
      <c r="B86" s="367" t="n">
        <v>850</v>
      </c>
      <c r="C86" s="323">
        <f>IFERROR(IF(AK88+(AK88*$AL$72)=0,"",AK88+(AK88*$AL$72)),"")</f>
        <v/>
      </c>
      <c r="D86" s="323">
        <f>IFERROR(IF(AL88+(AL88*$AL$72)=0,"",AL88+(AL88*$AL$72)),"")</f>
        <v/>
      </c>
      <c r="E86" s="323">
        <f>IFERROR(IF(AM88+(AM88*$AL$72)=0,"",AM88+(AM88*$AL$72)),"")</f>
        <v/>
      </c>
      <c r="F86" s="323">
        <f>IFERROR(IF(AN88+(AN88*$AL$72)=0,"",AN88+(AN88*$AL$72)),"")</f>
        <v/>
      </c>
      <c r="G86" s="323">
        <f>IFERROR(IF(AO88+(AO88*$AL$72)=0,"",AO88+(AO88*$AL$72)),"")</f>
        <v/>
      </c>
      <c r="H86" s="323">
        <f>IFERROR(IF(AP88+(AP88*$AL$72)=0,"",AP88+(AP88*$AL$72)),"")</f>
        <v/>
      </c>
      <c r="I86" s="323" t="n">
        <v>193.75</v>
      </c>
      <c r="J86" s="323" t="n">
        <v>208.47</v>
      </c>
      <c r="K86" s="323" t="n">
        <v>229.23</v>
      </c>
      <c r="L86" s="323" t="n">
        <v>242.68</v>
      </c>
      <c r="M86" s="323" t="n">
        <v>261.37</v>
      </c>
      <c r="N86" s="323">
        <f>IFERROR(IF(AV88+(AV88*$AL$72)=0,"",AV88+(AV88*$AL$72)),"")</f>
        <v/>
      </c>
      <c r="O86" s="323">
        <f>IFERROR(IF(AW88+(AW88*$AL$72)=0,"",AW88+(AW88*$AL$72)),"")</f>
        <v/>
      </c>
      <c r="P86" s="323">
        <f>IFERROR(IF(AX88+(AX88*$AL$72)=0,"",AX88+(AX88*$AL$72)),"")</f>
        <v/>
      </c>
      <c r="R86" s="368" t="n">
        <v>850</v>
      </c>
      <c r="S86" s="323" t="n">
        <v>402.44</v>
      </c>
      <c r="T86" s="213" t="n"/>
      <c r="U86" s="213" t="n"/>
      <c r="V86" s="213" t="n">
        <v>385.2</v>
      </c>
      <c r="W86" s="214" t="n">
        <v>385.2</v>
      </c>
      <c r="X86" s="213" t="n">
        <v>574.92</v>
      </c>
      <c r="Y86" s="213" t="n">
        <v>50</v>
      </c>
      <c r="Z86" s="216" t="n"/>
      <c r="AJ86" s="191" t="n">
        <v>750</v>
      </c>
      <c r="AK86" s="192" t="n"/>
      <c r="AL86" s="193" t="n"/>
      <c r="AM86" s="193" t="n"/>
      <c r="AN86" s="193" t="n"/>
      <c r="AO86" s="193" t="n"/>
      <c r="AP86" s="193" t="n">
        <v>143.64</v>
      </c>
      <c r="AQ86" s="193" t="n">
        <v>157.55</v>
      </c>
      <c r="AR86" s="193" t="n">
        <v>169.83</v>
      </c>
      <c r="AS86" s="193" t="n">
        <v>186.6</v>
      </c>
      <c r="AT86" s="193" t="n">
        <v>199.01</v>
      </c>
      <c r="AU86" s="193" t="n">
        <v>220.08</v>
      </c>
      <c r="AV86" s="193" t="n"/>
      <c r="AW86" s="193" t="n"/>
      <c r="AX86" s="194" t="n"/>
    </row>
    <row r="87">
      <c r="B87" s="367" t="n">
        <v>900</v>
      </c>
      <c r="C87" s="323">
        <f>IFERROR(IF(AK89+(AK89*$AL$72)=0,"",AK89+(AK89*$AL$72)),"")</f>
        <v/>
      </c>
      <c r="D87" s="323">
        <f>IFERROR(IF(AL89+(AL89*$AL$72)=0,"",AL89+(AL89*$AL$72)),"")</f>
        <v/>
      </c>
      <c r="E87" s="323">
        <f>IFERROR(IF(AM89+(AM89*$AL$72)=0,"",AM89+(AM89*$AL$72)),"")</f>
        <v/>
      </c>
      <c r="F87" s="323">
        <f>IFERROR(IF(AN89+(AN89*$AL$72)=0,"",AN89+(AN89*$AL$72)),"")</f>
        <v/>
      </c>
      <c r="G87" s="323">
        <f>IFERROR(IF(AO89+(AO89*$AL$72)=0,"",AO89+(AO89*$AL$72)),"")</f>
        <v/>
      </c>
      <c r="H87" s="323">
        <f>IFERROR(IF(AP89+(AP89*$AL$72)=0,"",AP89+(AP89*$AL$72)),"")</f>
        <v/>
      </c>
      <c r="I87" s="323" t="n">
        <v>202.53</v>
      </c>
      <c r="J87" s="323" t="n">
        <v>218.95</v>
      </c>
      <c r="K87" s="323" t="n">
        <v>240.23</v>
      </c>
      <c r="L87" s="323" t="n">
        <v>254.97</v>
      </c>
      <c r="M87" s="323" t="n">
        <v>274.74</v>
      </c>
      <c r="N87" s="323">
        <f>IFERROR(IF(AV89+(AV89*$AL$72)=0,"",AV89+(AV89*$AL$72)),"")</f>
        <v/>
      </c>
      <c r="O87" s="323">
        <f>IFERROR(IF(AW89+(AW89*$AL$72)=0,"",AW89+(AW89*$AL$72)),"")</f>
        <v/>
      </c>
      <c r="P87" s="323">
        <f>IFERROR(IF(AX89+(AX89*$AL$72)=0,"",AX89+(AX89*$AL$72)),"")</f>
        <v/>
      </c>
      <c r="R87" s="368" t="n">
        <v>900</v>
      </c>
      <c r="S87" s="323" t="n">
        <v>459.94</v>
      </c>
      <c r="T87" s="213" t="n"/>
      <c r="U87" s="213" t="n"/>
      <c r="V87" s="213" t="n">
        <v>431.19</v>
      </c>
      <c r="W87" s="214" t="n">
        <v>431.19</v>
      </c>
      <c r="X87" s="213" t="n">
        <v>574.92</v>
      </c>
      <c r="Y87" s="213" t="n">
        <v>50</v>
      </c>
      <c r="Z87" s="216" t="n"/>
      <c r="AJ87" s="191" t="n">
        <v>800</v>
      </c>
      <c r="AK87" s="192" t="n"/>
      <c r="AL87" s="193" t="n"/>
      <c r="AM87" s="193" t="n"/>
      <c r="AN87" s="193" t="n"/>
      <c r="AO87" s="193" t="n"/>
      <c r="AP87" s="193" t="n">
        <v>152.49</v>
      </c>
      <c r="AQ87" s="193" t="n">
        <v>168.43</v>
      </c>
      <c r="AR87" s="193" t="n">
        <v>181.94</v>
      </c>
      <c r="AS87" s="193" t="n">
        <v>199.71</v>
      </c>
      <c r="AT87" s="193" t="n">
        <v>211.68</v>
      </c>
      <c r="AU87" s="193" t="n"/>
      <c r="AV87" s="193" t="n"/>
      <c r="AW87" s="193" t="n"/>
      <c r="AX87" s="194" t="n"/>
    </row>
    <row r="88">
      <c r="B88" s="367" t="n">
        <v>950</v>
      </c>
      <c r="C88" s="323">
        <f>IFERROR(IF(AK90+(AK90*$AL$72)=0,"",AK90+(AK90*$AL$72)),"")</f>
        <v/>
      </c>
      <c r="D88" s="323">
        <f>IFERROR(IF(AL90+(AL90*$AL$72)=0,"",AL90+(AL90*$AL$72)),"")</f>
        <v/>
      </c>
      <c r="E88" s="323">
        <f>IFERROR(IF(AM90+(AM90*$AL$72)=0,"",AM90+(AM90*$AL$72)),"")</f>
        <v/>
      </c>
      <c r="F88" s="323">
        <f>IFERROR(IF(AN90+(AN90*$AL$72)=0,"",AN90+(AN90*$AL$72)),"")</f>
        <v/>
      </c>
      <c r="G88" s="323">
        <f>IFERROR(IF(AO90+(AO90*$AL$72)=0,"",AO90+(AO90*$AL$72)),"")</f>
        <v/>
      </c>
      <c r="H88" s="323">
        <f>IFERROR(IF(AP90+(AP90*$AL$72)=0,"",AP90+(AP90*$AL$72)),"")</f>
        <v/>
      </c>
      <c r="I88" s="323">
        <f>IFERROR(IF(AQ90+(AQ90*$AL$72)=0,"",AQ90+(AQ90*$AL$72)),"")</f>
        <v/>
      </c>
      <c r="J88" s="323" t="n">
        <v>229.42</v>
      </c>
      <c r="K88" s="323" t="n">
        <v>252.76</v>
      </c>
      <c r="L88" s="323" t="n">
        <v>268.53</v>
      </c>
      <c r="M88" s="323" t="n">
        <v>289.53</v>
      </c>
      <c r="N88" s="323" t="n">
        <v>308.87</v>
      </c>
      <c r="O88" s="323">
        <f>IFERROR(IF(AW90+(AW90*$AL$72)=0,"",AW90+(AW90*$AL$72)),"")</f>
        <v/>
      </c>
      <c r="P88" s="323">
        <f>IFERROR(IF(AX90+(AX90*$AL$72)=0,"",AX90+(AX90*$AL$72)),"")</f>
        <v/>
      </c>
      <c r="R88" s="368" t="n">
        <v>950</v>
      </c>
      <c r="S88" s="323" t="n">
        <v>517.4299999999999</v>
      </c>
      <c r="T88" s="213" t="n"/>
      <c r="U88" s="213" t="n"/>
      <c r="V88" s="213" t="n">
        <v>459.94</v>
      </c>
      <c r="W88" s="214" t="n">
        <v>459.94</v>
      </c>
      <c r="X88" s="213" t="n">
        <v>574.92</v>
      </c>
      <c r="Y88" s="213" t="n">
        <v>50</v>
      </c>
      <c r="Z88" s="216" t="n"/>
      <c r="AJ88" s="191" t="n">
        <v>850</v>
      </c>
      <c r="AK88" s="192" t="n"/>
      <c r="AL88" s="193" t="n"/>
      <c r="AM88" s="193" t="n"/>
      <c r="AN88" s="193" t="n"/>
      <c r="AO88" s="193" t="n"/>
      <c r="AP88" s="193" t="n"/>
      <c r="AQ88" s="193" t="n">
        <v>178.05</v>
      </c>
      <c r="AR88" s="193" t="n">
        <v>191.58</v>
      </c>
      <c r="AS88" s="193" t="n">
        <v>210.65</v>
      </c>
      <c r="AT88" s="193" t="n">
        <v>223.01</v>
      </c>
      <c r="AU88" s="193" t="n">
        <v>240.19</v>
      </c>
      <c r="AV88" s="193" t="n"/>
      <c r="AW88" s="193" t="n"/>
      <c r="AX88" s="194" t="n"/>
    </row>
    <row r="89">
      <c r="B89" s="367" t="n">
        <v>1000</v>
      </c>
      <c r="C89" s="323">
        <f>IFERROR(IF(AK91+(AK91*$AL$72)=0,"",AK91+(AK91*$AL$72)),"")</f>
        <v/>
      </c>
      <c r="D89" s="323">
        <f>IFERROR(IF(AL91+(AL91*$AL$72)=0,"",AL91+(AL91*$AL$72)),"")</f>
        <v/>
      </c>
      <c r="E89" s="323">
        <f>IFERROR(IF(AM91+(AM91*$AL$72)=0,"",AM91+(AM91*$AL$72)),"")</f>
        <v/>
      </c>
      <c r="F89" s="323">
        <f>IFERROR(IF(AN91+(AN91*$AL$72)=0,"",AN91+(AN91*$AL$72)),"")</f>
        <v/>
      </c>
      <c r="G89" s="323">
        <f>IFERROR(IF(AO91+(AO91*$AL$72)=0,"",AO91+(AO91*$AL$72)),"")</f>
        <v/>
      </c>
      <c r="H89" s="323">
        <f>IFERROR(IF(AP91+(AP91*$AL$72)=0,"",AP91+(AP91*$AL$72)),"")</f>
        <v/>
      </c>
      <c r="I89" s="323">
        <f>IFERROR(IF(AQ91+(AQ91*$AL$72)=0,"",AQ91+(AQ91*$AL$72)),"")</f>
        <v/>
      </c>
      <c r="J89" s="323" t="n">
        <v>245.06</v>
      </c>
      <c r="K89" s="323" t="n">
        <v>268.39</v>
      </c>
      <c r="L89" s="323" t="n">
        <v>285.39</v>
      </c>
      <c r="M89" s="323" t="n">
        <v>307.66</v>
      </c>
      <c r="N89" s="323" t="n">
        <v>324.51</v>
      </c>
      <c r="O89" s="323" t="n"/>
      <c r="P89" s="323" t="n"/>
      <c r="R89" s="368" t="n">
        <v>1000</v>
      </c>
      <c r="S89" s="323" t="n">
        <v>574.92</v>
      </c>
      <c r="T89" s="213" t="n"/>
      <c r="U89" s="213" t="n"/>
      <c r="V89" s="213" t="n">
        <v>488.68</v>
      </c>
      <c r="W89" s="214" t="n">
        <v>488.68</v>
      </c>
      <c r="X89" s="213" t="n">
        <v>574.92</v>
      </c>
      <c r="Y89" s="213" t="n">
        <v>50</v>
      </c>
      <c r="Z89" s="216" t="n"/>
      <c r="AJ89" s="191" t="n">
        <v>900</v>
      </c>
      <c r="AK89" s="192" t="n"/>
      <c r="AL89" s="193" t="n"/>
      <c r="AM89" s="193" t="n"/>
      <c r="AN89" s="193" t="n"/>
      <c r="AO89" s="193" t="n"/>
      <c r="AP89" s="193" t="n"/>
      <c r="AQ89" s="193" t="n">
        <v>186.12</v>
      </c>
      <c r="AR89" s="193" t="n">
        <v>201.2</v>
      </c>
      <c r="AS89" s="193" t="n">
        <v>220.76</v>
      </c>
      <c r="AT89" s="193" t="n">
        <v>234.3</v>
      </c>
      <c r="AU89" s="193" t="n">
        <v>252.47</v>
      </c>
      <c r="AV89" s="193" t="n"/>
      <c r="AW89" s="193" t="n"/>
      <c r="AX89" s="194" t="n"/>
    </row>
    <row r="90">
      <c r="B90" s="367" t="n">
        <v>1050</v>
      </c>
      <c r="C90" s="323">
        <f>IFERROR(IF(AK92+(AK92*$AL$72)=0,"",AK92+(AK92*$AL$72)),"")</f>
        <v/>
      </c>
      <c r="D90" s="323">
        <f>IFERROR(IF(AL92+(AL92*$AL$72)=0,"",AL92+(AL92*$AL$72)),"")</f>
        <v/>
      </c>
      <c r="E90" s="323">
        <f>IFERROR(IF(AM92+(AM92*$AL$72)=0,"",AM92+(AM92*$AL$72)),"")</f>
        <v/>
      </c>
      <c r="F90" s="323">
        <f>IFERROR(IF(AN92+(AN92*$AL$72)=0,"",AN92+(AN92*$AL$72)),"")</f>
        <v/>
      </c>
      <c r="G90" s="323">
        <f>IFERROR(IF(AO92+(AO92*$AL$72)=0,"",AO92+(AO92*$AL$72)),"")</f>
        <v/>
      </c>
      <c r="H90" s="323">
        <f>IFERROR(IF(AP92+(AP92*$AL$72)=0,"",AP92+(AP92*$AL$72)),"")</f>
        <v/>
      </c>
      <c r="I90" s="323">
        <f>IFERROR(IF(AQ92+(AQ92*$AL$72)=0,"",AQ92+(AQ92*$AL$72)),"")</f>
        <v/>
      </c>
      <c r="J90" s="323">
        <f>IFERROR(IF(AR92+(AR92*$AL$72)=0,"",AR92+(AR92*$AL$72)),"")</f>
        <v/>
      </c>
      <c r="K90" s="323" t="n">
        <v>281.94</v>
      </c>
      <c r="L90" s="323" t="n">
        <v>299.17</v>
      </c>
      <c r="M90" s="323" t="n">
        <v>321.65</v>
      </c>
      <c r="N90" s="323" t="n">
        <v>340.65</v>
      </c>
      <c r="O90" s="323" t="n">
        <v>365.87</v>
      </c>
      <c r="P90" s="323">
        <f>IFERROR(IF(AX92+(AX92*$AL$72)=0,"",AX92+(AX92*$AL$72)),"")</f>
        <v/>
      </c>
      <c r="R90" s="368" t="n">
        <v>1050</v>
      </c>
      <c r="S90" s="323" t="n">
        <v>574.92</v>
      </c>
      <c r="T90" s="213" t="n"/>
      <c r="U90" s="213" t="n"/>
      <c r="V90" s="213" t="n">
        <v>488.68</v>
      </c>
      <c r="W90" s="214" t="n">
        <v>488.68</v>
      </c>
      <c r="X90" s="213" t="n">
        <v>574.92</v>
      </c>
      <c r="Y90" s="213" t="n">
        <v>50</v>
      </c>
      <c r="Z90" s="216" t="n"/>
      <c r="AJ90" s="191" t="n">
        <v>950</v>
      </c>
      <c r="AK90" s="192" t="n"/>
      <c r="AL90" s="193" t="n"/>
      <c r="AM90" s="193" t="n"/>
      <c r="AN90" s="193" t="n"/>
      <c r="AO90" s="193" t="n"/>
      <c r="AP90" s="193" t="n"/>
      <c r="AQ90" s="193" t="n"/>
      <c r="AR90" s="193" t="n">
        <v>210.82</v>
      </c>
      <c r="AS90" s="193" t="n">
        <v>232.28</v>
      </c>
      <c r="AT90" s="193" t="n">
        <v>246.76</v>
      </c>
      <c r="AU90" s="193" t="n">
        <v>266.06</v>
      </c>
      <c r="AV90" s="193" t="n">
        <v>283.84</v>
      </c>
      <c r="AW90" s="193" t="n"/>
      <c r="AX90" s="194" t="n"/>
    </row>
    <row r="91">
      <c r="B91" s="367" t="n">
        <v>1100</v>
      </c>
      <c r="C91" s="323">
        <f>IFERROR(IF(AK93+(AK93*$AL$72)=0,"",AK93+(AK93*$AL$72)),"")</f>
        <v/>
      </c>
      <c r="D91" s="323">
        <f>IFERROR(IF(AL93+(AL93*$AL$72)=0,"",AL93+(AL93*$AL$72)),"")</f>
        <v/>
      </c>
      <c r="E91" s="323">
        <f>IFERROR(IF(AM93+(AM93*$AL$72)=0,"",AM93+(AM93*$AL$72)),"")</f>
        <v/>
      </c>
      <c r="F91" s="323">
        <f>IFERROR(IF(AN93+(AN93*$AL$72)=0,"",AN93+(AN93*$AL$72)),"")</f>
        <v/>
      </c>
      <c r="G91" s="323">
        <f>IFERROR(IF(AO93+(AO93*$AL$72)=0,"",AO93+(AO93*$AL$72)),"")</f>
        <v/>
      </c>
      <c r="H91" s="323">
        <f>IFERROR(IF(AP93+(AP93*$AL$72)=0,"",AP93+(AP93*$AL$72)),"")</f>
        <v/>
      </c>
      <c r="I91" s="323">
        <f>IFERROR(IF(AQ93+(AQ93*$AL$72)=0,"",AQ93+(AQ93*$AL$72)),"")</f>
        <v/>
      </c>
      <c r="J91" s="323">
        <f>IFERROR(IF(AR93+(AR93*$AL$72)=0,"",AR93+(AR93*$AL$72)),"")</f>
        <v/>
      </c>
      <c r="K91" s="323" t="n">
        <v>295.81</v>
      </c>
      <c r="L91" s="323" t="n">
        <v>312.91</v>
      </c>
      <c r="M91" s="323" t="n">
        <v>336.96</v>
      </c>
      <c r="N91" s="323" t="n">
        <v>356.41</v>
      </c>
      <c r="O91" s="323" t="n">
        <v>380.42</v>
      </c>
      <c r="P91" s="323">
        <f>IFERROR(IF(AX93+(AX93*$AL$72)=0,"",AX93+(AX93*$AL$72)),"")</f>
        <v/>
      </c>
      <c r="R91" s="368" t="n">
        <v>1100</v>
      </c>
      <c r="S91" s="323" t="n">
        <v>574.92</v>
      </c>
      <c r="T91" s="213" t="n"/>
      <c r="U91" s="213" t="n"/>
      <c r="V91" s="213" t="n">
        <v>488.68</v>
      </c>
      <c r="W91" s="214" t="n">
        <v>488.68</v>
      </c>
      <c r="X91" s="213" t="n">
        <v>574.92</v>
      </c>
      <c r="Y91" s="213" t="n">
        <v>50</v>
      </c>
      <c r="Z91" s="216" t="n"/>
      <c r="AJ91" s="191" t="n">
        <v>1000</v>
      </c>
      <c r="AK91" s="192" t="n"/>
      <c r="AL91" s="193" t="n"/>
      <c r="AM91" s="193" t="n"/>
      <c r="AN91" s="193" t="n"/>
      <c r="AO91" s="193" t="n"/>
      <c r="AP91" s="193" t="n"/>
      <c r="AQ91" s="193" t="n"/>
      <c r="AR91" s="193" t="n">
        <v>225.19</v>
      </c>
      <c r="AS91" s="193" t="n">
        <v>246.64</v>
      </c>
      <c r="AT91" s="193" t="n">
        <v>262.26</v>
      </c>
      <c r="AU91" s="193" t="n">
        <v>282.73</v>
      </c>
      <c r="AV91" s="193" t="n">
        <v>298.21</v>
      </c>
      <c r="AW91" s="193" t="n">
        <v>330.23</v>
      </c>
      <c r="AX91" s="370" t="n">
        <v>381.42</v>
      </c>
    </row>
    <row r="92">
      <c r="B92" s="367" t="n">
        <v>1150</v>
      </c>
      <c r="C92" s="323">
        <f>IFERROR(IF(AK94+(AK94*$AL$72)=0,"",AK94+(AK94*$AL$72)),"")</f>
        <v/>
      </c>
      <c r="D92" s="323">
        <f>IFERROR(IF(AL94+(AL94*$AL$72)=0,"",AL94+(AL94*$AL$72)),"")</f>
        <v/>
      </c>
      <c r="E92" s="323">
        <f>IFERROR(IF(AM94+(AM94*$AL$72)=0,"",AM94+(AM94*$AL$72)),"")</f>
        <v/>
      </c>
      <c r="F92" s="323">
        <f>IFERROR(IF(AN94+(AN94*$AL$72)=0,"",AN94+(AN94*$AL$72)),"")</f>
        <v/>
      </c>
      <c r="G92" s="323">
        <f>IFERROR(IF(AO94+(AO94*$AL$72)=0,"",AO94+(AO94*$AL$72)),"")</f>
        <v/>
      </c>
      <c r="H92" s="323">
        <f>IFERROR(IF(AP94+(AP94*$AL$72)=0,"",AP94+(AP94*$AL$72)),"")</f>
        <v/>
      </c>
      <c r="I92" s="323">
        <f>IFERROR(IF(AQ94+(AQ94*$AL$72)=0,"",AQ94+(AQ94*$AL$72)),"")</f>
        <v/>
      </c>
      <c r="J92" s="323">
        <f>IFERROR(IF(AR94+(AR94*$AL$72)=0,"",AR94+(AR94*$AL$72)),"")</f>
        <v/>
      </c>
      <c r="K92" s="323">
        <f>IFERROR(IF(AS94+(AS94*$AL$72)=0,"",AS94+(AS94*$AL$72)),"")</f>
        <v/>
      </c>
      <c r="L92" s="323" t="n">
        <v>326.66</v>
      </c>
      <c r="M92" s="323" t="n">
        <v>352.27</v>
      </c>
      <c r="N92" s="323" t="n">
        <v>372.17</v>
      </c>
      <c r="O92" s="323" t="n">
        <v>394.97</v>
      </c>
      <c r="P92" s="323" t="n">
        <v>417.74</v>
      </c>
      <c r="R92" s="368" t="n">
        <v>1150</v>
      </c>
      <c r="S92" s="323" t="n">
        <v>689.9</v>
      </c>
      <c r="T92" s="213" t="n"/>
      <c r="U92" s="213" t="n"/>
      <c r="V92" s="213" t="n">
        <v>580.67</v>
      </c>
      <c r="W92" s="214" t="n">
        <v>580.67</v>
      </c>
      <c r="X92" s="213" t="n">
        <v>574.92</v>
      </c>
      <c r="Y92" s="213" t="n">
        <v>25</v>
      </c>
      <c r="Z92" s="216" t="n"/>
      <c r="AJ92" s="191" t="n">
        <v>1050</v>
      </c>
      <c r="AK92" s="192" t="n"/>
      <c r="AL92" s="193" t="n"/>
      <c r="AM92" s="193" t="n"/>
      <c r="AN92" s="193" t="n"/>
      <c r="AO92" s="193" t="n"/>
      <c r="AP92" s="193" t="n"/>
      <c r="AQ92" s="193" t="n"/>
      <c r="AR92" s="193" t="n"/>
      <c r="AS92" s="193" t="n">
        <v>259.09</v>
      </c>
      <c r="AT92" s="193" t="n">
        <v>274.93</v>
      </c>
      <c r="AU92" s="193" t="n">
        <v>295.58</v>
      </c>
      <c r="AV92" s="193" t="n">
        <v>313.04</v>
      </c>
      <c r="AW92" s="193" t="n">
        <v>336.22</v>
      </c>
      <c r="AX92" s="194" t="n"/>
    </row>
    <row r="93">
      <c r="B93" s="367" t="n">
        <v>1200</v>
      </c>
      <c r="C93" s="323">
        <f>IFERROR(IF(AK95+(AK95*$AL$72)=0,"",AK95+(AK95*$AL$72)),"")</f>
        <v/>
      </c>
      <c r="D93" s="323">
        <f>IFERROR(IF(AL95+(AL95*$AL$72)=0,"",AL95+(AL95*$AL$72)),"")</f>
        <v/>
      </c>
      <c r="E93" s="323">
        <f>IFERROR(IF(AM95+(AM95*$AL$72)=0,"",AM95+(AM95*$AL$72)),"")</f>
        <v/>
      </c>
      <c r="F93" s="323">
        <f>IFERROR(IF(AN95+(AN95*$AL$72)=0,"",AN95+(AN95*$AL$72)),"")</f>
        <v/>
      </c>
      <c r="G93" s="323">
        <f>IFERROR(IF(AO95+(AO95*$AL$72)=0,"",AO95+(AO95*$AL$72)),"")</f>
        <v/>
      </c>
      <c r="H93" s="323">
        <f>IFERROR(IF(AP95+(AP95*$AL$72)=0,"",AP95+(AP95*$AL$72)),"")</f>
        <v/>
      </c>
      <c r="I93" s="323">
        <f>IFERROR(IF(AQ95+(AQ95*$AL$72)=0,"",AQ95+(AQ95*$AL$72)),"")</f>
        <v/>
      </c>
      <c r="J93" s="323">
        <f>IFERROR(IF(AR95+(AR95*$AL$72)=0,"",AR95+(AR95*$AL$72)),"")</f>
        <v/>
      </c>
      <c r="K93" s="323">
        <f>IFERROR(IF(AS95+(AS95*$AL$72)=0,"",AS95+(AS95*$AL$72)),"")</f>
        <v/>
      </c>
      <c r="L93" s="323" t="n">
        <v>340.28</v>
      </c>
      <c r="M93" s="323" t="n">
        <v>367.17</v>
      </c>
      <c r="N93" s="323" t="n">
        <v>386.18</v>
      </c>
      <c r="O93" s="323" t="n">
        <v>410.52</v>
      </c>
      <c r="P93" s="323" t="n">
        <v>434.81</v>
      </c>
      <c r="R93" s="368" t="n">
        <v>1200</v>
      </c>
      <c r="S93" s="323" t="n">
        <v>804.89</v>
      </c>
      <c r="T93" s="213" t="n"/>
      <c r="U93" s="213" t="n"/>
      <c r="V93" s="213" t="n">
        <v>672.66</v>
      </c>
      <c r="W93" s="214" t="n">
        <v>672.66</v>
      </c>
      <c r="X93" s="213" t="n">
        <v>574.92</v>
      </c>
      <c r="Y93" s="213" t="n">
        <v>25</v>
      </c>
      <c r="Z93" s="216" t="n"/>
      <c r="AJ93" s="191" t="n">
        <v>1100</v>
      </c>
      <c r="AK93" s="192" t="n"/>
      <c r="AL93" s="193" t="n"/>
      <c r="AM93" s="193" t="n"/>
      <c r="AN93" s="193" t="n"/>
      <c r="AO93" s="193" t="n"/>
      <c r="AP93" s="193" t="n"/>
      <c r="AQ93" s="193" t="n"/>
      <c r="AR93" s="193" t="n"/>
      <c r="AS93" s="193" t="n">
        <v>271.83</v>
      </c>
      <c r="AT93" s="193" t="n">
        <v>287.55</v>
      </c>
      <c r="AU93" s="193" t="n">
        <v>309.65</v>
      </c>
      <c r="AV93" s="193" t="n">
        <v>327.52</v>
      </c>
      <c r="AW93" s="193" t="n">
        <v>349.59</v>
      </c>
      <c r="AX93" s="194" t="n"/>
    </row>
    <row r="94" ht="14.25" customHeight="1" thickBot="1">
      <c r="A94" s="65" t="n"/>
      <c r="B94" s="367" t="n">
        <v>1250</v>
      </c>
      <c r="C94" s="323">
        <f>IFERROR(IF(AK96+(AK96*$AL$72)=0,"",AK96+(AK96*$AL$72)),"")</f>
        <v/>
      </c>
      <c r="D94" s="323">
        <f>IFERROR(IF(AL96+(AL96*$AL$72)=0,"",AL96+(AL96*$AL$72)),"")</f>
        <v/>
      </c>
      <c r="E94" s="323">
        <f>IFERROR(IF(AM96+(AM96*$AL$72)=0,"",AM96+(AM96*$AL$72)),"")</f>
        <v/>
      </c>
      <c r="F94" s="323">
        <f>IFERROR(IF(AN96+(AN96*$AL$72)=0,"",AN96+(AN96*$AL$72)),"")</f>
        <v/>
      </c>
      <c r="G94" s="323">
        <f>IFERROR(IF(AO96+(AO96*$AL$72)=0,"",AO96+(AO96*$AL$72)),"")</f>
        <v/>
      </c>
      <c r="H94" s="323">
        <f>IFERROR(IF(AP96+(AP96*$AL$72)=0,"",AP96+(AP96*$AL$72)),"")</f>
        <v/>
      </c>
      <c r="I94" s="323">
        <f>IFERROR(IF(AQ96+(AQ96*$AL$72)=0,"",AQ96+(AQ96*$AL$72)),"")</f>
        <v/>
      </c>
      <c r="J94" s="323">
        <f>IFERROR(IF(AR96+(AR96*$AL$72)=0,"",AR96+(AR96*$AL$72)),"")</f>
        <v/>
      </c>
      <c r="K94" s="323">
        <f>IFERROR(IF(AS96+(AS96*$AL$72)=0,"",AS96+(AS96*$AL$72)),"")</f>
        <v/>
      </c>
      <c r="L94" s="323" t="n">
        <v>354.05</v>
      </c>
      <c r="M94" s="323" t="n">
        <v>381.98</v>
      </c>
      <c r="N94" s="323" t="n">
        <v>401.82</v>
      </c>
      <c r="O94" s="323" t="n">
        <v>427.24</v>
      </c>
      <c r="P94" s="323" t="n">
        <v>452.57</v>
      </c>
      <c r="Q94" s="124" t="n"/>
      <c r="R94" s="368" t="n">
        <v>1250</v>
      </c>
      <c r="S94" s="323" t="n">
        <v>804.89</v>
      </c>
      <c r="T94" s="218" t="n"/>
      <c r="U94" s="218" t="n"/>
      <c r="V94" s="218" t="n">
        <v>672.66</v>
      </c>
      <c r="W94" s="219" t="n">
        <v>672.66</v>
      </c>
      <c r="X94" s="218" t="n">
        <v>574.92</v>
      </c>
      <c r="Y94" s="218" t="n">
        <v>25</v>
      </c>
      <c r="Z94" s="220" t="n"/>
      <c r="AJ94" s="191" t="n">
        <v>1150</v>
      </c>
      <c r="AK94" s="192" t="n"/>
      <c r="AL94" s="193" t="n"/>
      <c r="AM94" s="193" t="n"/>
      <c r="AN94" s="193" t="n"/>
      <c r="AO94" s="193" t="n"/>
      <c r="AP94" s="193" t="n"/>
      <c r="AQ94" s="193" t="n"/>
      <c r="AR94" s="193" t="n"/>
      <c r="AS94" s="193" t="n"/>
      <c r="AT94" s="193" t="n">
        <v>300.18</v>
      </c>
      <c r="AU94" s="193" t="n">
        <v>323.72</v>
      </c>
      <c r="AV94" s="193" t="n">
        <v>342.01</v>
      </c>
      <c r="AW94" s="193" t="n">
        <v>362.95</v>
      </c>
      <c r="AX94" s="194" t="n">
        <v>383.88</v>
      </c>
    </row>
    <row r="95">
      <c r="M95" s="124" t="n"/>
      <c r="N95" s="124" t="n"/>
      <c r="O95" s="124" t="n"/>
      <c r="P95" s="124" t="n"/>
      <c r="AJ95" s="191" t="n">
        <v>1200</v>
      </c>
      <c r="AK95" s="192" t="n"/>
      <c r="AL95" s="193" t="n"/>
      <c r="AM95" s="193" t="n"/>
      <c r="AN95" s="193" t="n"/>
      <c r="AO95" s="193" t="n"/>
      <c r="AP95" s="193" t="n"/>
      <c r="AQ95" s="193" t="n"/>
      <c r="AR95" s="193" t="n"/>
      <c r="AS95" s="193" t="n"/>
      <c r="AT95" s="193" t="n">
        <v>312.7</v>
      </c>
      <c r="AU95" s="193" t="n">
        <v>337.41</v>
      </c>
      <c r="AV95" s="193" t="n">
        <v>354.88</v>
      </c>
      <c r="AW95" s="193" t="n">
        <v>377.25</v>
      </c>
      <c r="AX95" s="194" t="n">
        <v>399.57</v>
      </c>
    </row>
    <row r="96" ht="13.5" customHeight="1" thickBot="1"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AJ96" s="201" t="n">
        <v>1250</v>
      </c>
      <c r="AK96" s="202" t="n"/>
      <c r="AL96" s="203" t="n"/>
      <c r="AM96" s="203" t="n"/>
      <c r="AN96" s="203" t="n"/>
      <c r="AO96" s="203" t="n"/>
      <c r="AP96" s="203" t="n"/>
      <c r="AQ96" s="203" t="n"/>
      <c r="AR96" s="203" t="n"/>
      <c r="AS96" s="203" t="n"/>
      <c r="AT96" s="203" t="n">
        <v>325.36</v>
      </c>
      <c r="AU96" s="203" t="n">
        <v>351.02</v>
      </c>
      <c r="AV96" s="203" t="n">
        <v>369.25</v>
      </c>
      <c r="AW96" s="203" t="n">
        <v>392.61</v>
      </c>
      <c r="AX96" s="204" t="n">
        <v>415.89</v>
      </c>
    </row>
  </sheetData>
  <mergeCells count="6">
    <mergeCell ref="AE1:AE3"/>
    <mergeCell ref="Z1:Z3"/>
    <mergeCell ref="AD1:AD3"/>
    <mergeCell ref="AJ3:AM6"/>
    <mergeCell ref="AB1:AB3"/>
    <mergeCell ref="AA1:AA3"/>
  </mergeCells>
  <pageMargins left="0.7" right="0.7" top="0.75" bottom="0.75" header="0.3" footer="0.3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9" max="9"/>
    <col width="10" customWidth="1" min="10" max="10"/>
  </cols>
  <sheetData>
    <row r="1">
      <c r="A1" s="371" t="inlineStr">
        <is>
          <t>ALGEMENE VERKOOPTARIEVEN 2026 — GMB Leidingtechnieken B.V.</t>
        </is>
      </c>
    </row>
    <row r="2">
      <c r="A2" s="372" t="inlineStr">
        <is>
          <t>INTERN GEBRUIK — niet delen. De tarieven waarmee we rekenen. Geel = bewerkbaar.</t>
        </is>
      </c>
    </row>
    <row r="3">
      <c r="D3" s="315" t="inlineStr">
        <is>
          <t>Hoog tarief</t>
        </is>
      </c>
      <c r="E3" s="395" t="n"/>
      <c r="F3" s="315" t="inlineStr">
        <is>
          <t>Laag tarief</t>
        </is>
      </c>
      <c r="G3" s="395" t="n"/>
    </row>
    <row r="4">
      <c r="A4" s="315" t="inlineStr">
        <is>
          <t>Materieelstuk</t>
        </is>
      </c>
      <c r="B4" s="315" t="inlineStr">
        <is>
          <t>Bijzonderheden</t>
        </is>
      </c>
      <c r="C4" s="315" t="inlineStr">
        <is>
          <t>Bediening</t>
        </is>
      </c>
      <c r="D4" s="315" t="inlineStr">
        <is>
          <t>uur (€)</t>
        </is>
      </c>
      <c r="E4" s="315" t="inlineStr">
        <is>
          <t>dag (€)</t>
        </is>
      </c>
      <c r="F4" s="315" t="inlineStr">
        <is>
          <t>uur (€)</t>
        </is>
      </c>
      <c r="G4" s="315" t="inlineStr">
        <is>
          <t>dag (€)</t>
        </is>
      </c>
      <c r="I4" s="373" t="inlineStr">
        <is>
          <t>Tariefbasis:</t>
        </is>
      </c>
      <c r="J4" s="374" t="inlineStr">
        <is>
          <t>Laag</t>
        </is>
      </c>
    </row>
    <row r="5">
      <c r="A5" s="375" t="inlineStr">
        <is>
          <t>RR combinatie</t>
        </is>
      </c>
      <c r="B5" s="259" t="inlineStr">
        <is>
          <t>n.v.t.</t>
        </is>
      </c>
      <c r="C5" s="259" t="inlineStr">
        <is>
          <t>2 man</t>
        </is>
      </c>
      <c r="D5" s="376" t="n">
        <v>348.14</v>
      </c>
      <c r="E5" s="376" t="n">
        <v>2785.1</v>
      </c>
      <c r="F5" s="376" t="n">
        <v>301.08</v>
      </c>
      <c r="G5" s="376" t="n">
        <v>2408.62</v>
      </c>
    </row>
    <row r="6">
      <c r="A6" s="375" t="inlineStr">
        <is>
          <t>Hogedrukwagen</t>
        </is>
      </c>
      <c r="B6" s="259" t="inlineStr">
        <is>
          <t>n.v.t.</t>
        </is>
      </c>
      <c r="C6" s="259" t="inlineStr">
        <is>
          <t>1 man</t>
        </is>
      </c>
      <c r="D6" s="376" t="n">
        <v>187.68</v>
      </c>
      <c r="E6" s="376" t="n">
        <v>1501.42</v>
      </c>
      <c r="F6" s="376" t="n">
        <v>182.01</v>
      </c>
      <c r="G6" s="376" t="n">
        <v>1456.06</v>
      </c>
    </row>
    <row r="7">
      <c r="A7" s="375" t="inlineStr">
        <is>
          <t>Hogedrukwagen</t>
        </is>
      </c>
      <c r="B7" s="259" t="inlineStr">
        <is>
          <t>n.v.t.</t>
        </is>
      </c>
      <c r="C7" s="259" t="inlineStr">
        <is>
          <t>2 man</t>
        </is>
      </c>
      <c r="D7" s="376" t="n">
        <v>256.28</v>
      </c>
      <c r="E7" s="376" t="n">
        <v>2050.27</v>
      </c>
      <c r="F7" s="376" t="n">
        <v>248.91</v>
      </c>
      <c r="G7" s="376" t="n">
        <v>1991.3</v>
      </c>
    </row>
    <row r="8">
      <c r="A8" s="375" t="inlineStr">
        <is>
          <t>Vacuumwagen</t>
        </is>
      </c>
      <c r="B8" s="259" t="inlineStr">
        <is>
          <t>n.v.t.</t>
        </is>
      </c>
      <c r="C8" s="259" t="inlineStr">
        <is>
          <t>1 man</t>
        </is>
      </c>
      <c r="D8" s="376" t="n">
        <v>184.28</v>
      </c>
      <c r="E8" s="376" t="n">
        <v>1474.2</v>
      </c>
      <c r="F8" s="376" t="n">
        <v>178.61</v>
      </c>
      <c r="G8" s="376" t="n">
        <v>1428.84</v>
      </c>
    </row>
    <row r="9">
      <c r="A9" s="375" t="inlineStr">
        <is>
          <t>Vacuumwagen</t>
        </is>
      </c>
      <c r="B9" s="259" t="inlineStr">
        <is>
          <t>n.v.t.</t>
        </is>
      </c>
      <c r="C9" s="259" t="inlineStr">
        <is>
          <t>2 man</t>
        </is>
      </c>
      <c r="D9" s="376" t="n">
        <v>254.58</v>
      </c>
      <c r="E9" s="376" t="n">
        <v>2036.66</v>
      </c>
      <c r="F9" s="376" t="n">
        <v>243.81</v>
      </c>
      <c r="G9" s="376" t="n">
        <v>1950.48</v>
      </c>
    </row>
    <row r="10">
      <c r="A10" s="375" t="inlineStr">
        <is>
          <t>Combi</t>
        </is>
      </c>
      <c r="B10" s="259" t="inlineStr">
        <is>
          <t>n.v.t.</t>
        </is>
      </c>
      <c r="C10" s="259" t="inlineStr">
        <is>
          <t>1 man</t>
        </is>
      </c>
      <c r="D10" s="376" t="n">
        <v>233.6</v>
      </c>
      <c r="E10" s="376" t="n">
        <v>1868.83</v>
      </c>
      <c r="F10" s="376" t="n">
        <v>217.73</v>
      </c>
      <c r="G10" s="376" t="n">
        <v>1741.82</v>
      </c>
    </row>
    <row r="11">
      <c r="A11" s="375" t="inlineStr">
        <is>
          <t>Combi</t>
        </is>
      </c>
      <c r="B11" s="259" t="inlineStr">
        <is>
          <t>n.v.t.</t>
        </is>
      </c>
      <c r="C11" s="259" t="inlineStr">
        <is>
          <t>2 man</t>
        </is>
      </c>
      <c r="D11" s="376" t="n">
        <v>302.21</v>
      </c>
      <c r="E11" s="376" t="n">
        <v>2417.69</v>
      </c>
      <c r="F11" s="376" t="n">
        <v>282.93</v>
      </c>
      <c r="G11" s="376" t="n">
        <v>2263.46</v>
      </c>
    </row>
    <row r="12">
      <c r="A12" s="375" t="inlineStr">
        <is>
          <t>Inspectie-unit conventioneel</t>
        </is>
      </c>
      <c r="B12" s="259" t="inlineStr">
        <is>
          <t>n.v.t.</t>
        </is>
      </c>
      <c r="C12" s="259" t="inlineStr">
        <is>
          <t>1 man</t>
        </is>
      </c>
      <c r="D12" s="376" t="n">
        <v>221.13</v>
      </c>
      <c r="E12" s="376" t="n">
        <v>1769.04</v>
      </c>
      <c r="F12" s="376" t="n">
        <v>208.66</v>
      </c>
      <c r="G12" s="376" t="n">
        <v>1669.25</v>
      </c>
    </row>
    <row r="13">
      <c r="A13" s="375" t="inlineStr">
        <is>
          <t>Inspectie-unit conventioneel</t>
        </is>
      </c>
      <c r="B13" s="259" t="inlineStr">
        <is>
          <t>n.v.t.</t>
        </is>
      </c>
      <c r="C13" s="259" t="inlineStr">
        <is>
          <t>2 man</t>
        </is>
      </c>
      <c r="D13" s="376" t="n">
        <v>292.57</v>
      </c>
      <c r="E13" s="376" t="n">
        <v>2340.58</v>
      </c>
      <c r="F13" s="376" t="n">
        <v>260.25</v>
      </c>
      <c r="G13" s="376" t="n">
        <v>2082.02</v>
      </c>
    </row>
    <row r="14">
      <c r="A14" s="375" t="inlineStr">
        <is>
          <t>Inspectie-unit Pano</t>
        </is>
      </c>
      <c r="B14" s="259" t="inlineStr">
        <is>
          <t>n.v.t.</t>
        </is>
      </c>
      <c r="C14" s="259" t="inlineStr">
        <is>
          <t>1 man</t>
        </is>
      </c>
      <c r="D14" s="376" t="n">
        <v>284.07</v>
      </c>
      <c r="E14" s="376" t="n">
        <v>2272.54</v>
      </c>
      <c r="F14" s="376" t="n">
        <v>257.99</v>
      </c>
      <c r="G14" s="376" t="n">
        <v>2063.88</v>
      </c>
    </row>
    <row r="15">
      <c r="A15" s="375" t="inlineStr">
        <is>
          <t>Inspectie-unit Pano</t>
        </is>
      </c>
      <c r="B15" s="259" t="inlineStr">
        <is>
          <t>n.v.t.</t>
        </is>
      </c>
      <c r="C15" s="259" t="inlineStr">
        <is>
          <t>2 man</t>
        </is>
      </c>
      <c r="D15" s="376" t="n">
        <v>352.67</v>
      </c>
      <c r="E15" s="376" t="n">
        <v>2821.39</v>
      </c>
      <c r="F15" s="376" t="n">
        <v>323.19</v>
      </c>
      <c r="G15" s="376" t="n">
        <v>2585.52</v>
      </c>
    </row>
    <row r="16">
      <c r="A16" s="375" t="inlineStr">
        <is>
          <t>Robotfrees-unit</t>
        </is>
      </c>
      <c r="B16" s="259" t="inlineStr">
        <is>
          <t>n.v.t.</t>
        </is>
      </c>
      <c r="C16" s="259" t="inlineStr">
        <is>
          <t>2 man</t>
        </is>
      </c>
      <c r="D16" s="376" t="n">
        <v>299.94</v>
      </c>
      <c r="E16" s="376" t="n">
        <v>2399.54</v>
      </c>
      <c r="F16" s="376" t="n">
        <v>261.95</v>
      </c>
      <c r="G16" s="376" t="n">
        <v>2095.63</v>
      </c>
    </row>
    <row r="17">
      <c r="A17" s="375" t="inlineStr">
        <is>
          <t>Wortelfrees</t>
        </is>
      </c>
      <c r="B17" s="259" t="inlineStr">
        <is>
          <t>n.v.t.</t>
        </is>
      </c>
      <c r="C17" s="259" t="inlineStr">
        <is>
          <t>n.v.t.</t>
        </is>
      </c>
      <c r="D17" s="376" t="n">
        <v>100.36</v>
      </c>
      <c r="E17" s="376" t="n">
        <v>802.87</v>
      </c>
      <c r="F17" s="376" t="n">
        <v>100.36</v>
      </c>
      <c r="G17" s="376" t="n">
        <v>802.87</v>
      </c>
    </row>
    <row r="18">
      <c r="A18" s="375" t="inlineStr">
        <is>
          <t>Fourtrack honda</t>
        </is>
      </c>
      <c r="B18" s="259" t="inlineStr">
        <is>
          <t>n.v.t.</t>
        </is>
      </c>
      <c r="C18" s="259" t="inlineStr">
        <is>
          <t>n.v.t.</t>
        </is>
      </c>
      <c r="D18" s="376" t="n">
        <v>57.83</v>
      </c>
      <c r="E18" s="376" t="n">
        <v>462.67</v>
      </c>
      <c r="F18" s="376" t="n">
        <v>57.83</v>
      </c>
      <c r="G18" s="376" t="n">
        <v>462.67</v>
      </c>
    </row>
    <row r="19">
      <c r="A19" s="375" t="inlineStr">
        <is>
          <t>Safety-unit</t>
        </is>
      </c>
      <c r="B19" s="259" t="inlineStr">
        <is>
          <t>per dag</t>
        </is>
      </c>
      <c r="C19" s="259" t="inlineStr">
        <is>
          <t>n.v.t.</t>
        </is>
      </c>
      <c r="D19" s="377" t="inlineStr">
        <is>
          <t>n.v.t.</t>
        </is>
      </c>
      <c r="E19" s="377" t="inlineStr">
        <is>
          <t>n.v.t.</t>
        </is>
      </c>
      <c r="F19" s="377" t="inlineStr">
        <is>
          <t>n.v.t.</t>
        </is>
      </c>
      <c r="G19" s="377" t="inlineStr">
        <is>
          <t>n.v.t.</t>
        </is>
      </c>
    </row>
    <row r="20">
      <c r="A20" s="375" t="inlineStr">
        <is>
          <t>Borden-wagen</t>
        </is>
      </c>
      <c r="B20" s="259" t="inlineStr">
        <is>
          <t>per dag</t>
        </is>
      </c>
      <c r="C20" s="259" t="inlineStr">
        <is>
          <t>n.v.t.</t>
        </is>
      </c>
      <c r="D20" s="377" t="inlineStr">
        <is>
          <t>n.v.t.</t>
        </is>
      </c>
      <c r="E20" s="377" t="inlineStr">
        <is>
          <t>n.v.t.</t>
        </is>
      </c>
      <c r="F20" s="377" t="inlineStr">
        <is>
          <t>n.v.t.</t>
        </is>
      </c>
      <c r="G20" s="377" t="inlineStr">
        <is>
          <t>n.v.t.</t>
        </is>
      </c>
    </row>
    <row r="21">
      <c r="A21" s="375" t="inlineStr">
        <is>
          <t>Transportbus</t>
        </is>
      </c>
      <c r="B21" s="259" t="inlineStr">
        <is>
          <t>n.v.t.</t>
        </is>
      </c>
      <c r="C21" s="259" t="inlineStr">
        <is>
          <t>n.v.t.</t>
        </is>
      </c>
      <c r="D21" s="376" t="n">
        <v>27.78</v>
      </c>
      <c r="E21" s="376" t="n">
        <v>222.26</v>
      </c>
      <c r="F21" s="376" t="n">
        <v>27.78</v>
      </c>
      <c r="G21" s="376" t="n">
        <v>222.26</v>
      </c>
    </row>
    <row r="22">
      <c r="A22" s="375" t="inlineStr">
        <is>
          <t>Stortkosten RKG-slib (per ton)</t>
        </is>
      </c>
      <c r="B22" s="259" t="inlineStr">
        <is>
          <t>per ton</t>
        </is>
      </c>
      <c r="C22" s="259" t="inlineStr">
        <is>
          <t>n.v.t.</t>
        </is>
      </c>
      <c r="D22" s="376" t="n">
        <v>98.5</v>
      </c>
      <c r="E22" s="377" t="inlineStr">
        <is>
          <t>n.v.t.</t>
        </is>
      </c>
      <c r="F22" s="376" t="n">
        <v>98.5</v>
      </c>
      <c r="G22" s="377" t="inlineStr">
        <is>
          <t>n.v.t.</t>
        </is>
      </c>
    </row>
    <row r="23">
      <c r="A23" s="375" t="inlineStr">
        <is>
          <t>Opstellen werkvergunning</t>
        </is>
      </c>
      <c r="B23" s="259" t="inlineStr">
        <is>
          <t>per werk</t>
        </is>
      </c>
      <c r="C23" s="259" t="inlineStr">
        <is>
          <t>n.v.t.</t>
        </is>
      </c>
      <c r="D23" s="377" t="inlineStr">
        <is>
          <t>n.v.t.</t>
        </is>
      </c>
      <c r="E23" s="377" t="inlineStr">
        <is>
          <t>n.v.t.</t>
        </is>
      </c>
      <c r="F23" s="377" t="inlineStr">
        <is>
          <t>n.v.t.</t>
        </is>
      </c>
      <c r="G23" s="377" t="inlineStr">
        <is>
          <t>n.v.t.</t>
        </is>
      </c>
    </row>
    <row r="24">
      <c r="A24" s="375" t="inlineStr">
        <is>
          <t>Werkvergunning per persoon</t>
        </is>
      </c>
      <c r="B24" s="259" t="inlineStr">
        <is>
          <t>per dag</t>
        </is>
      </c>
      <c r="C24" s="259" t="inlineStr">
        <is>
          <t>n.v.t.</t>
        </is>
      </c>
      <c r="D24" s="377" t="inlineStr">
        <is>
          <t>n.v.t.</t>
        </is>
      </c>
      <c r="E24" s="377" t="inlineStr">
        <is>
          <t>n.v.t.</t>
        </is>
      </c>
      <c r="F24" s="377" t="inlineStr">
        <is>
          <t>n.v.t.</t>
        </is>
      </c>
      <c r="G24" s="377" t="inlineStr">
        <is>
          <t>n.v.t.</t>
        </is>
      </c>
    </row>
    <row r="25">
      <c r="A25" s="375" t="inlineStr">
        <is>
          <t>Manuren rapporteur</t>
        </is>
      </c>
      <c r="B25" s="259" t="inlineStr">
        <is>
          <t>n.v.t.</t>
        </is>
      </c>
      <c r="C25" s="259" t="inlineStr">
        <is>
          <t>n.v.t.</t>
        </is>
      </c>
      <c r="D25" s="376" t="n">
        <v>86</v>
      </c>
      <c r="E25" s="376" t="n">
        <v>688</v>
      </c>
      <c r="F25" s="376" t="n">
        <v>86</v>
      </c>
      <c r="G25" s="376" t="n">
        <v>688</v>
      </c>
    </row>
    <row r="26">
      <c r="A26" s="375" t="inlineStr">
        <is>
          <t>Manuren operationeel personeel</t>
        </is>
      </c>
      <c r="B26" s="259" t="inlineStr">
        <is>
          <t>n.v.t.</t>
        </is>
      </c>
      <c r="C26" s="259" t="inlineStr">
        <is>
          <t>n.v.t.</t>
        </is>
      </c>
      <c r="D26" s="376" t="n">
        <v>75</v>
      </c>
      <c r="E26" s="376" t="n">
        <v>600</v>
      </c>
      <c r="F26" s="376" t="n">
        <v>75</v>
      </c>
      <c r="G26" s="376" t="n">
        <v>600</v>
      </c>
    </row>
    <row r="27">
      <c r="A27" s="378" t="inlineStr">
        <is>
          <t>PLOEGEN &amp; OVERIG (dagprijs)</t>
        </is>
      </c>
      <c r="B27" s="378" t="n"/>
      <c r="C27" s="378" t="n"/>
      <c r="D27" s="378" t="n"/>
      <c r="E27" s="378" t="n"/>
      <c r="F27" s="378" t="n"/>
      <c r="G27" s="378" t="n"/>
    </row>
    <row r="28">
      <c r="A28" s="244" t="inlineStr">
        <is>
          <t>Viltploeg water chip</t>
        </is>
      </c>
      <c r="B28" s="244" t="n"/>
      <c r="C28" s="259" t="inlineStr">
        <is>
          <t>4 man</t>
        </is>
      </c>
      <c r="D28" s="244" t="n"/>
      <c r="E28" s="244" t="n"/>
      <c r="F28" s="244" t="n"/>
      <c r="G28" s="376" t="n">
        <v>6510</v>
      </c>
    </row>
    <row r="29">
      <c r="A29" s="244" t="inlineStr">
        <is>
          <t>Viltploeg water steiger</t>
        </is>
      </c>
      <c r="B29" s="244" t="n"/>
      <c r="C29" s="259" t="inlineStr">
        <is>
          <t>6 man</t>
        </is>
      </c>
      <c r="D29" s="244" t="n"/>
      <c r="E29" s="244" t="n"/>
      <c r="F29" s="244" t="n"/>
      <c r="G29" s="376" t="n">
        <v>7980</v>
      </c>
    </row>
    <row r="30">
      <c r="A30" s="244" t="inlineStr">
        <is>
          <t>Inzet koolbak</t>
        </is>
      </c>
      <c r="B30" s="244" t="n"/>
      <c r="C30" s="259" t="inlineStr"/>
      <c r="D30" s="244" t="n"/>
      <c r="E30" s="244" t="n"/>
      <c r="F30" s="244" t="n"/>
      <c r="G30" s="376" t="n">
        <v>262.5</v>
      </c>
    </row>
    <row r="31">
      <c r="A31" s="244" t="inlineStr">
        <is>
          <t>Dikmans extra incl. man</t>
        </is>
      </c>
      <c r="B31" s="244" t="n"/>
      <c r="C31" s="259" t="inlineStr"/>
      <c r="D31" s="244" t="n"/>
      <c r="E31" s="244" t="n"/>
      <c r="F31" s="244" t="n"/>
      <c r="G31" s="376" t="n">
        <v>2100</v>
      </c>
    </row>
    <row r="32">
      <c r="A32" s="244" t="inlineStr">
        <is>
          <t>Viltploeg stoom drukvat</t>
        </is>
      </c>
      <c r="B32" s="244" t="n"/>
      <c r="C32" s="259" t="inlineStr">
        <is>
          <t>4 man</t>
        </is>
      </c>
      <c r="D32" s="244" t="n"/>
      <c r="E32" s="244" t="n"/>
      <c r="F32" s="244" t="n"/>
      <c r="G32" s="376" t="n">
        <v>6510</v>
      </c>
    </row>
    <row r="33">
      <c r="A33" s="244" t="inlineStr">
        <is>
          <t>Viltploeg stoom DGA</t>
        </is>
      </c>
      <c r="B33" s="244" t="n"/>
      <c r="C33" s="259" t="inlineStr">
        <is>
          <t>6 man</t>
        </is>
      </c>
      <c r="D33" s="244" t="n"/>
      <c r="E33" s="244" t="n"/>
      <c r="F33" s="244" t="n"/>
      <c r="G33" s="376" t="n">
        <v>7980</v>
      </c>
    </row>
    <row r="34">
      <c r="A34" s="244" t="inlineStr">
        <is>
          <t>UV-ploeg</t>
        </is>
      </c>
      <c r="B34" s="244" t="n"/>
      <c r="C34" s="259" t="inlineStr">
        <is>
          <t>4 man</t>
        </is>
      </c>
      <c r="D34" s="244" t="n"/>
      <c r="E34" s="244" t="n"/>
      <c r="F34" s="244" t="n"/>
      <c r="G34" s="376" t="n">
        <v>6300</v>
      </c>
    </row>
    <row r="35">
      <c r="A35" s="378" t="inlineStr">
        <is>
          <t>PERSONEEL (uur / dag)</t>
        </is>
      </c>
      <c r="B35" s="378" t="n"/>
      <c r="C35" s="378" t="n"/>
      <c r="D35" s="378" t="n"/>
      <c r="E35" s="378" t="n"/>
      <c r="F35" s="378" t="n"/>
      <c r="G35" s="378" t="n"/>
    </row>
    <row r="36">
      <c r="A36" s="244" t="inlineStr">
        <is>
          <t>Werkvoorbereider</t>
        </is>
      </c>
      <c r="B36" s="244" t="n"/>
      <c r="C36" s="244" t="n"/>
      <c r="D36" s="244" t="n"/>
      <c r="E36" s="244" t="n"/>
      <c r="F36" s="376" t="n">
        <v>89.25</v>
      </c>
      <c r="G36" s="376" t="n">
        <v>714</v>
      </c>
    </row>
    <row r="37">
      <c r="A37" s="244" t="inlineStr">
        <is>
          <t>Uitvoerder</t>
        </is>
      </c>
      <c r="B37" s="244" t="n"/>
      <c r="C37" s="244" t="n"/>
      <c r="D37" s="244" t="n"/>
      <c r="E37" s="244" t="n"/>
      <c r="F37" s="376" t="n">
        <v>89.25</v>
      </c>
      <c r="G37" s="376" t="n">
        <v>714</v>
      </c>
    </row>
    <row r="38">
      <c r="A38" s="244" t="inlineStr">
        <is>
          <t>Projectleider</t>
        </is>
      </c>
      <c r="B38" s="244" t="n"/>
      <c r="C38" s="244" t="n"/>
      <c r="D38" s="244" t="n"/>
      <c r="E38" s="244" t="n"/>
      <c r="F38" s="376" t="n">
        <v>115.5</v>
      </c>
      <c r="G38" s="376" t="n">
        <v>924</v>
      </c>
    </row>
    <row r="39">
      <c r="A39" s="244" t="inlineStr">
        <is>
          <t>Calculator</t>
        </is>
      </c>
      <c r="B39" s="244" t="n"/>
      <c r="C39" s="244" t="n"/>
      <c r="D39" s="244" t="n"/>
      <c r="E39" s="244" t="n"/>
      <c r="F39" s="376" t="n">
        <v>89.25</v>
      </c>
      <c r="G39" s="376" t="n">
        <v>714</v>
      </c>
    </row>
    <row r="41">
      <c r="A41" s="379" t="inlineStr">
        <is>
          <t>VOORWAARDEN</t>
        </is>
      </c>
    </row>
    <row r="42">
      <c r="A42" s="380" t="inlineStr">
        <is>
          <t>• Een dag bestaat uit 8 werkuren tussen 07.30 en 16.30 uur. Het dagtarief is 8× het uurtarief.</t>
        </is>
      </c>
    </row>
    <row r="43">
      <c r="A43" s="380" t="inlineStr">
        <is>
          <t>• Reistijd vóór 07.30 / na 16.30 uur: 50% van het uurtarief.</t>
        </is>
      </c>
    </row>
    <row r="44">
      <c r="A44" s="380" t="inlineStr">
        <is>
          <t>• Reistijd tijdens werktijd (07.30-16.30): 100% van het uurtarief.</t>
        </is>
      </c>
    </row>
    <row r="45">
      <c r="A45" s="380" t="inlineStr">
        <is>
          <t>• Ma t/m vr (niet-feestdagen) 18.00-07.00 uur: toeslag 150% op de manuren.</t>
        </is>
      </c>
    </row>
    <row r="46">
      <c r="A46" s="380" t="inlineStr">
        <is>
          <t>• Zaterdag 07.00-18.00 uur: toeslag 150% op de manuren.</t>
        </is>
      </c>
    </row>
    <row r="47">
      <c r="A47" s="380" t="inlineStr">
        <is>
          <t>• Zondag en zaterdag 18.00-07.00 uur: toeslag 200% op de manuren.</t>
        </is>
      </c>
    </row>
  </sheetData>
  <mergeCells count="2">
    <mergeCell ref="F3:G3"/>
    <mergeCell ref="D3:E3"/>
  </mergeCells>
  <dataValidations count="1">
    <dataValidation sqref="J4" showDropDown="0" showInputMessage="0" showErrorMessage="0" allowBlank="0" type="list">
      <formula1>"Hoog,Laag"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64" customWidth="1" min="3" max="3"/>
  </cols>
  <sheetData>
    <row r="1">
      <c r="A1" s="371" t="inlineStr">
        <is>
          <t>INSTELLINGEN — Insituform detailcalculatie</t>
        </is>
      </c>
    </row>
    <row r="3">
      <c r="A3" s="315" t="inlineStr">
        <is>
          <t>Parameter</t>
        </is>
      </c>
      <c r="B3" s="315" t="inlineStr">
        <is>
          <t>Waarde</t>
        </is>
      </c>
      <c r="C3" s="315" t="inlineStr">
        <is>
          <t>Toelichting</t>
        </is>
      </c>
    </row>
    <row r="4">
      <c r="A4" s="244" t="inlineStr">
        <is>
          <t>Indexatie % op impregnatieprijs</t>
        </is>
      </c>
      <c r="B4" s="381" t="n">
        <v>0</v>
      </c>
      <c r="C4" s="382" t="inlineStr">
        <is>
          <t>Extra index bovenop de Insituform-lijstprijs (los van Prijzen-blad).</t>
        </is>
      </c>
    </row>
    <row r="5">
      <c r="A5" s="244" t="inlineStr">
        <is>
          <t>Extra meters droge kous t.o.v. omslaan</t>
        </is>
      </c>
      <c r="B5" s="307" t="n">
        <v>1</v>
      </c>
      <c r="C5" s="382" t="inlineStr">
        <is>
          <t>Droge kous (m) = Omslaan (m) + deze waarde.</t>
        </is>
      </c>
    </row>
    <row r="6">
      <c r="A6" s="244" t="inlineStr">
        <is>
          <t>Standaard omslaan (m) indien leeg</t>
        </is>
      </c>
      <c r="B6" s="307" t="n">
        <v>4.5</v>
      </c>
      <c r="C6" s="382" t="inlineStr">
        <is>
          <t>Gebruikt als kolom 'Omslaan' leeg is.</t>
        </is>
      </c>
    </row>
    <row r="7">
      <c r="A7" s="244" t="inlineStr">
        <is>
          <t>Standaard aantal eindstuk</t>
        </is>
      </c>
      <c r="B7" s="383" t="n">
        <v>1</v>
      </c>
      <c r="C7" s="382" t="inlineStr"/>
    </row>
    <row r="8">
      <c r="A8" s="244" t="inlineStr">
        <is>
          <t>Standaard aantal omslaan</t>
        </is>
      </c>
      <c r="B8" s="383" t="n">
        <v>1</v>
      </c>
      <c r="C8" s="38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371" t="inlineStr">
        <is>
          <t>IMPREGNATIE — prijs per meter (€/m)</t>
        </is>
      </c>
    </row>
    <row r="3">
      <c r="A3" s="315" t="inlineStr">
        <is>
          <t>DN \ Dikte (mm)</t>
        </is>
      </c>
      <c r="B3" s="315" t="n">
        <v>4.5</v>
      </c>
      <c r="C3" s="315" t="n">
        <v>6</v>
      </c>
      <c r="D3" s="315" t="n">
        <v>7.5</v>
      </c>
      <c r="E3" s="315" t="n">
        <v>9</v>
      </c>
      <c r="F3" s="315" t="n">
        <v>10.5</v>
      </c>
      <c r="G3" s="315" t="n">
        <v>12</v>
      </c>
      <c r="H3" s="315" t="n">
        <v>13.5</v>
      </c>
      <c r="I3" s="315" t="n">
        <v>15</v>
      </c>
      <c r="J3" s="315" t="n">
        <v>16.5</v>
      </c>
      <c r="K3" s="315" t="n">
        <v>18</v>
      </c>
      <c r="L3" s="315" t="n">
        <v>19.5</v>
      </c>
      <c r="M3" s="315" t="n">
        <v>21</v>
      </c>
      <c r="N3" s="315" t="n">
        <v>22.5</v>
      </c>
      <c r="O3" s="315" t="n">
        <v>24</v>
      </c>
    </row>
    <row r="4">
      <c r="A4" s="384" t="n">
        <v>200</v>
      </c>
      <c r="B4" s="385" t="n">
        <v>31.65</v>
      </c>
      <c r="C4" s="385" t="n">
        <v>36.91</v>
      </c>
      <c r="D4" s="385" t="n">
        <v>40.98</v>
      </c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  <c r="O4" s="244" t="n"/>
    </row>
    <row r="5">
      <c r="A5" s="384" t="n">
        <v>250</v>
      </c>
      <c r="B5" s="244" t="n"/>
      <c r="C5" s="385" t="n">
        <v>42.44</v>
      </c>
      <c r="D5" s="385" t="n">
        <v>47.54</v>
      </c>
      <c r="E5" s="385" t="n">
        <v>51.91</v>
      </c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  <c r="O5" s="244" t="n"/>
    </row>
    <row r="6">
      <c r="A6" s="384" t="n">
        <v>300</v>
      </c>
      <c r="B6" s="244" t="n"/>
      <c r="C6" s="385" t="n">
        <v>48.04</v>
      </c>
      <c r="D6" s="385" t="n">
        <v>54.1</v>
      </c>
      <c r="E6" s="385" t="n">
        <v>59.33</v>
      </c>
      <c r="F6" s="385" t="n">
        <v>66.54000000000001</v>
      </c>
      <c r="G6" s="244" t="n"/>
      <c r="H6" s="244" t="n"/>
      <c r="I6" s="244" t="n"/>
      <c r="J6" s="244" t="n"/>
      <c r="K6" s="244" t="n"/>
      <c r="L6" s="244" t="n"/>
      <c r="M6" s="244" t="n"/>
      <c r="N6" s="244" t="n"/>
      <c r="O6" s="244" t="n"/>
    </row>
    <row r="7">
      <c r="A7" s="384" t="n">
        <v>350</v>
      </c>
      <c r="B7" s="244" t="n"/>
      <c r="C7" s="385" t="n">
        <v>53.57</v>
      </c>
      <c r="D7" s="385" t="n">
        <v>60.73</v>
      </c>
      <c r="E7" s="385" t="n">
        <v>66.92</v>
      </c>
      <c r="F7" s="385" t="n">
        <v>76.15000000000001</v>
      </c>
      <c r="G7" s="385" t="n">
        <v>81.40000000000001</v>
      </c>
      <c r="H7" s="244" t="n"/>
      <c r="I7" s="244" t="n"/>
      <c r="J7" s="244" t="n"/>
      <c r="K7" s="244" t="n"/>
      <c r="L7" s="244" t="n"/>
      <c r="M7" s="244" t="n"/>
      <c r="N7" s="244" t="n"/>
      <c r="O7" s="244" t="n"/>
    </row>
    <row r="8">
      <c r="A8" s="384" t="n">
        <v>400</v>
      </c>
      <c r="B8" s="244" t="n"/>
      <c r="C8" s="244" t="n"/>
      <c r="D8" s="385" t="n">
        <v>66.65000000000001</v>
      </c>
      <c r="E8" s="385" t="n">
        <v>74</v>
      </c>
      <c r="F8" s="385" t="n">
        <v>84.26000000000001</v>
      </c>
      <c r="G8" s="385" t="n">
        <v>90.45999999999999</v>
      </c>
      <c r="H8" s="244" t="n"/>
      <c r="I8" s="244" t="n"/>
      <c r="J8" s="244" t="n"/>
      <c r="K8" s="244" t="n"/>
      <c r="L8" s="244" t="n"/>
      <c r="M8" s="244" t="n"/>
      <c r="N8" s="244" t="n"/>
      <c r="O8" s="244" t="n"/>
    </row>
    <row r="9">
      <c r="A9" s="384" t="n">
        <v>450</v>
      </c>
      <c r="B9" s="244" t="n"/>
      <c r="C9" s="244" t="n"/>
      <c r="D9" s="385" t="n">
        <v>73.34</v>
      </c>
      <c r="E9" s="385" t="n">
        <v>81.7</v>
      </c>
      <c r="F9" s="385" t="n">
        <v>92.88</v>
      </c>
      <c r="G9" s="385" t="n">
        <v>99.93000000000001</v>
      </c>
      <c r="H9" s="385" t="n">
        <v>108.89</v>
      </c>
      <c r="I9" s="244" t="n"/>
      <c r="J9" s="244" t="n"/>
      <c r="K9" s="244" t="n"/>
      <c r="L9" s="244" t="n"/>
      <c r="M9" s="244" t="n"/>
      <c r="N9" s="244" t="n"/>
      <c r="O9" s="244" t="n"/>
    </row>
    <row r="10">
      <c r="A10" s="384" t="n">
        <v>500</v>
      </c>
      <c r="B10" s="244" t="n"/>
      <c r="C10" s="244" t="n"/>
      <c r="D10" s="244" t="n"/>
      <c r="E10" s="385" t="n">
        <v>89.61</v>
      </c>
      <c r="F10" s="385" t="n">
        <v>101.96</v>
      </c>
      <c r="G10" s="385" t="n">
        <v>109.89</v>
      </c>
      <c r="H10" s="385" t="n">
        <v>119.95</v>
      </c>
      <c r="I10" s="385" t="n">
        <v>128.83</v>
      </c>
      <c r="J10" s="244" t="n"/>
      <c r="K10" s="244" t="n"/>
      <c r="L10" s="244" t="n"/>
      <c r="M10" s="244" t="n"/>
      <c r="N10" s="244" t="n"/>
      <c r="O10" s="244" t="n"/>
    </row>
    <row r="11">
      <c r="A11" s="384" t="n">
        <v>550</v>
      </c>
      <c r="B11" s="244" t="n"/>
      <c r="C11" s="244" t="n"/>
      <c r="D11" s="244" t="n"/>
      <c r="E11" s="385" t="n">
        <v>97.45999999999999</v>
      </c>
      <c r="F11" s="385" t="n">
        <v>110.77</v>
      </c>
      <c r="G11" s="385" t="n">
        <v>119.87</v>
      </c>
      <c r="H11" s="385" t="n">
        <v>130.98</v>
      </c>
      <c r="I11" s="385" t="n">
        <v>140.72</v>
      </c>
      <c r="J11" s="244" t="n"/>
      <c r="K11" s="244" t="n"/>
      <c r="L11" s="244" t="n"/>
      <c r="M11" s="244" t="n"/>
      <c r="N11" s="244" t="n"/>
      <c r="O11" s="244" t="n"/>
    </row>
    <row r="12">
      <c r="A12" s="384" t="n">
        <v>600</v>
      </c>
      <c r="B12" s="244" t="n"/>
      <c r="C12" s="244" t="n"/>
      <c r="D12" s="244" t="n"/>
      <c r="E12" s="385" t="n">
        <v>103.87</v>
      </c>
      <c r="F12" s="385" t="n">
        <v>117.99</v>
      </c>
      <c r="G12" s="385" t="n">
        <v>128</v>
      </c>
      <c r="H12" s="385" t="n">
        <v>139.87</v>
      </c>
      <c r="I12" s="385" t="n">
        <v>150.76</v>
      </c>
      <c r="J12" s="244" t="n"/>
      <c r="K12" s="244" t="n"/>
      <c r="L12" s="244" t="n"/>
      <c r="M12" s="244" t="n"/>
      <c r="N12" s="244" t="n"/>
      <c r="O12" s="244" t="n"/>
    </row>
    <row r="13">
      <c r="A13" s="384" t="n">
        <v>650</v>
      </c>
      <c r="B13" s="244" t="n"/>
      <c r="C13" s="244" t="n"/>
      <c r="D13" s="244" t="n"/>
      <c r="E13" s="244" t="n"/>
      <c r="F13" s="385" t="n">
        <v>126.88</v>
      </c>
      <c r="G13" s="385" t="n">
        <v>137.56</v>
      </c>
      <c r="H13" s="385" t="n">
        <v>150.53</v>
      </c>
      <c r="I13" s="385" t="n">
        <v>162.11</v>
      </c>
      <c r="J13" s="385" t="n">
        <v>178.08</v>
      </c>
      <c r="K13" s="244" t="n"/>
      <c r="L13" s="244" t="n"/>
      <c r="M13" s="244" t="n"/>
      <c r="N13" s="244" t="n"/>
      <c r="O13" s="244" t="n"/>
    </row>
    <row r="14">
      <c r="A14" s="384" t="n">
        <v>700</v>
      </c>
      <c r="B14" s="244" t="n"/>
      <c r="C14" s="244" t="n"/>
      <c r="D14" s="244" t="n"/>
      <c r="E14" s="244" t="n"/>
      <c r="F14" s="385" t="n">
        <v>135.77</v>
      </c>
      <c r="G14" s="385" t="n">
        <v>146.72</v>
      </c>
      <c r="H14" s="385" t="n">
        <v>160.79</v>
      </c>
      <c r="I14" s="385" t="n">
        <v>173.3</v>
      </c>
      <c r="J14" s="385" t="n">
        <v>190.45</v>
      </c>
      <c r="K14" s="244" t="n"/>
      <c r="L14" s="244" t="n"/>
      <c r="M14" s="244" t="n"/>
      <c r="N14" s="244" t="n"/>
      <c r="O14" s="244" t="n"/>
    </row>
    <row r="15">
      <c r="A15" s="384" t="n">
        <v>750</v>
      </c>
      <c r="B15" s="244" t="n"/>
      <c r="C15" s="244" t="n"/>
      <c r="D15" s="244" t="n"/>
      <c r="E15" s="244" t="n"/>
      <c r="F15" s="244" t="n"/>
      <c r="G15" s="385" t="n">
        <v>156.31</v>
      </c>
      <c r="H15" s="385" t="n">
        <v>171.45</v>
      </c>
      <c r="I15" s="385" t="n">
        <v>184.81</v>
      </c>
      <c r="J15" s="385" t="n">
        <v>203.06</v>
      </c>
      <c r="K15" s="385" t="n">
        <v>216.57</v>
      </c>
      <c r="L15" s="244" t="n"/>
      <c r="M15" s="244" t="n"/>
      <c r="N15" s="244" t="n"/>
      <c r="O15" s="244" t="n"/>
    </row>
    <row r="16">
      <c r="A16" s="384" t="n">
        <v>800</v>
      </c>
      <c r="B16" s="244" t="n"/>
      <c r="C16" s="244" t="n"/>
      <c r="D16" s="244" t="n"/>
      <c r="E16" s="244" t="n"/>
      <c r="F16" s="244" t="n"/>
      <c r="G16" s="385" t="n">
        <v>165.94</v>
      </c>
      <c r="H16" s="385" t="n">
        <v>183.29</v>
      </c>
      <c r="I16" s="385" t="n">
        <v>197.99</v>
      </c>
      <c r="J16" s="385" t="n">
        <v>217.33</v>
      </c>
      <c r="K16" s="385" t="n">
        <v>230.35</v>
      </c>
      <c r="L16" s="244" t="n"/>
      <c r="M16" s="244" t="n"/>
      <c r="N16" s="244" t="n"/>
      <c r="O16" s="244" t="n"/>
    </row>
    <row r="17">
      <c r="A17" s="384" t="n">
        <v>850</v>
      </c>
      <c r="B17" s="244" t="n"/>
      <c r="C17" s="244" t="n"/>
      <c r="D17" s="244" t="n"/>
      <c r="E17" s="244" t="n"/>
      <c r="F17" s="244" t="n"/>
      <c r="G17" s="244" t="n"/>
      <c r="H17" s="385" t="n">
        <v>193.75</v>
      </c>
      <c r="I17" s="385" t="n">
        <v>208.47</v>
      </c>
      <c r="J17" s="385" t="n">
        <v>229.23</v>
      </c>
      <c r="K17" s="385" t="n">
        <v>242.68</v>
      </c>
      <c r="L17" s="385" t="n">
        <v>261.37</v>
      </c>
      <c r="M17" s="244" t="n"/>
      <c r="N17" s="244" t="n"/>
      <c r="O17" s="244" t="n"/>
    </row>
    <row r="18">
      <c r="A18" s="384" t="n">
        <v>900</v>
      </c>
      <c r="B18" s="244" t="n"/>
      <c r="C18" s="244" t="n"/>
      <c r="D18" s="244" t="n"/>
      <c r="E18" s="244" t="n"/>
      <c r="F18" s="244" t="n"/>
      <c r="G18" s="244" t="n"/>
      <c r="H18" s="385" t="n">
        <v>202.53</v>
      </c>
      <c r="I18" s="385" t="n">
        <v>218.95</v>
      </c>
      <c r="J18" s="385" t="n">
        <v>240.23</v>
      </c>
      <c r="K18" s="385" t="n">
        <v>254.97</v>
      </c>
      <c r="L18" s="385" t="n">
        <v>274.74</v>
      </c>
      <c r="M18" s="244" t="n"/>
      <c r="N18" s="244" t="n"/>
      <c r="O18" s="244" t="n"/>
    </row>
    <row r="19">
      <c r="A19" s="384" t="n">
        <v>950</v>
      </c>
      <c r="B19" s="244" t="n"/>
      <c r="C19" s="244" t="n"/>
      <c r="D19" s="244" t="n"/>
      <c r="E19" s="244" t="n"/>
      <c r="F19" s="244" t="n"/>
      <c r="G19" s="244" t="n"/>
      <c r="H19" s="244" t="n"/>
      <c r="I19" s="385" t="n">
        <v>229.42</v>
      </c>
      <c r="J19" s="385" t="n">
        <v>252.76</v>
      </c>
      <c r="K19" s="385" t="n">
        <v>268.53</v>
      </c>
      <c r="L19" s="385" t="n">
        <v>289.53</v>
      </c>
      <c r="M19" s="385" t="n">
        <v>308.87</v>
      </c>
      <c r="N19" s="244" t="n"/>
      <c r="O19" s="244" t="n"/>
    </row>
    <row r="20">
      <c r="A20" s="384" t="n">
        <v>1000</v>
      </c>
      <c r="B20" s="244" t="n"/>
      <c r="C20" s="244" t="n"/>
      <c r="D20" s="244" t="n"/>
      <c r="E20" s="244" t="n"/>
      <c r="F20" s="244" t="n"/>
      <c r="G20" s="244" t="n"/>
      <c r="H20" s="244" t="n"/>
      <c r="I20" s="385" t="n">
        <v>245.06</v>
      </c>
      <c r="J20" s="385" t="n">
        <v>268.39</v>
      </c>
      <c r="K20" s="385" t="n">
        <v>285.39</v>
      </c>
      <c r="L20" s="385" t="n">
        <v>307.66</v>
      </c>
      <c r="M20" s="385" t="n">
        <v>324.51</v>
      </c>
      <c r="N20" s="244" t="n"/>
      <c r="O20" s="244" t="n"/>
    </row>
    <row r="21">
      <c r="A21" s="384" t="n">
        <v>1050</v>
      </c>
      <c r="B21" s="244" t="n"/>
      <c r="C21" s="244" t="n"/>
      <c r="D21" s="244" t="n"/>
      <c r="E21" s="244" t="n"/>
      <c r="F21" s="244" t="n"/>
      <c r="G21" s="244" t="n"/>
      <c r="H21" s="244" t="n"/>
      <c r="I21" s="244" t="n"/>
      <c r="J21" s="385" t="n">
        <v>281.94</v>
      </c>
      <c r="K21" s="385" t="n">
        <v>299.17</v>
      </c>
      <c r="L21" s="385" t="n">
        <v>321.65</v>
      </c>
      <c r="M21" s="385" t="n">
        <v>340.65</v>
      </c>
      <c r="N21" s="385" t="n">
        <v>365.87</v>
      </c>
      <c r="O21" s="244" t="n"/>
    </row>
    <row r="22">
      <c r="A22" s="384" t="n">
        <v>1100</v>
      </c>
      <c r="B22" s="244" t="n"/>
      <c r="C22" s="244" t="n"/>
      <c r="D22" s="244" t="n"/>
      <c r="E22" s="244" t="n"/>
      <c r="F22" s="244" t="n"/>
      <c r="G22" s="244" t="n"/>
      <c r="H22" s="244" t="n"/>
      <c r="I22" s="244" t="n"/>
      <c r="J22" s="385" t="n">
        <v>295.81</v>
      </c>
      <c r="K22" s="385" t="n">
        <v>312.91</v>
      </c>
      <c r="L22" s="385" t="n">
        <v>336.96</v>
      </c>
      <c r="M22" s="385" t="n">
        <v>356.41</v>
      </c>
      <c r="N22" s="385" t="n">
        <v>380.42</v>
      </c>
      <c r="O22" s="244" t="n"/>
    </row>
    <row r="23">
      <c r="A23" s="384" t="n">
        <v>1150</v>
      </c>
      <c r="B23" s="244" t="n"/>
      <c r="C23" s="244" t="n"/>
      <c r="D23" s="244" t="n"/>
      <c r="E23" s="244" t="n"/>
      <c r="F23" s="244" t="n"/>
      <c r="G23" s="244" t="n"/>
      <c r="H23" s="244" t="n"/>
      <c r="I23" s="244" t="n"/>
      <c r="J23" s="244" t="n"/>
      <c r="K23" s="385" t="n">
        <v>326.66</v>
      </c>
      <c r="L23" s="385" t="n">
        <v>352.27</v>
      </c>
      <c r="M23" s="385" t="n">
        <v>372.17</v>
      </c>
      <c r="N23" s="385" t="n">
        <v>394.97</v>
      </c>
      <c r="O23" s="385" t="n">
        <v>417.74</v>
      </c>
    </row>
    <row r="24">
      <c r="A24" s="384" t="n">
        <v>1200</v>
      </c>
      <c r="B24" s="244" t="n"/>
      <c r="C24" s="244" t="n"/>
      <c r="D24" s="244" t="n"/>
      <c r="E24" s="244" t="n"/>
      <c r="F24" s="244" t="n"/>
      <c r="G24" s="244" t="n"/>
      <c r="H24" s="244" t="n"/>
      <c r="I24" s="244" t="n"/>
      <c r="J24" s="244" t="n"/>
      <c r="K24" s="385" t="n">
        <v>340.28</v>
      </c>
      <c r="L24" s="385" t="n">
        <v>367.17</v>
      </c>
      <c r="M24" s="385" t="n">
        <v>386.18</v>
      </c>
      <c r="N24" s="385" t="n">
        <v>410.52</v>
      </c>
      <c r="O24" s="385" t="n">
        <v>434.81</v>
      </c>
    </row>
    <row r="25">
      <c r="A25" s="384" t="n">
        <v>1250</v>
      </c>
      <c r="B25" s="244" t="n"/>
      <c r="C25" s="244" t="n"/>
      <c r="D25" s="244" t="n"/>
      <c r="E25" s="244" t="n"/>
      <c r="F25" s="244" t="n"/>
      <c r="G25" s="244" t="n"/>
      <c r="H25" s="244" t="n"/>
      <c r="I25" s="244" t="n"/>
      <c r="J25" s="244" t="n"/>
      <c r="K25" s="385" t="n">
        <v>354.05</v>
      </c>
      <c r="L25" s="385" t="n">
        <v>381.98</v>
      </c>
      <c r="M25" s="385" t="n">
        <v>401.82</v>
      </c>
      <c r="N25" s="385" t="n">
        <v>427.24</v>
      </c>
      <c r="O25" s="385" t="n">
        <v>452.57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371" t="inlineStr">
        <is>
          <t>DROGE KOUS — prijs per meter (€/m)</t>
        </is>
      </c>
    </row>
    <row r="3">
      <c r="A3" s="315" t="inlineStr">
        <is>
          <t>DN \ Dikte (mm)</t>
        </is>
      </c>
      <c r="B3" s="315" t="n">
        <v>3</v>
      </c>
      <c r="C3" s="315" t="n">
        <v>4.5</v>
      </c>
      <c r="D3" s="315" t="n">
        <v>6</v>
      </c>
      <c r="E3" s="315" t="n">
        <v>7.5</v>
      </c>
      <c r="F3" s="315" t="n">
        <v>9</v>
      </c>
      <c r="G3" s="315" t="n">
        <v>10.5</v>
      </c>
      <c r="H3" s="315" t="n">
        <v>12</v>
      </c>
      <c r="I3" s="315" t="n">
        <v>13.5</v>
      </c>
      <c r="J3" s="315" t="n">
        <v>15</v>
      </c>
      <c r="K3" s="315" t="n">
        <v>16.5</v>
      </c>
      <c r="L3" s="315" t="n">
        <v>18</v>
      </c>
      <c r="M3" s="315" t="n">
        <v>19.5</v>
      </c>
      <c r="N3" s="315" t="n">
        <v>21</v>
      </c>
      <c r="O3" s="315" t="n">
        <v>22.5</v>
      </c>
      <c r="P3" s="315" t="n">
        <v>24</v>
      </c>
      <c r="Q3" s="315" t="n">
        <v>25.5</v>
      </c>
      <c r="R3" s="315" t="n">
        <v>27</v>
      </c>
      <c r="S3" s="315" t="n">
        <v>28.5</v>
      </c>
      <c r="T3" s="315" t="n">
        <v>30</v>
      </c>
    </row>
    <row r="4">
      <c r="A4" s="384" t="n">
        <v>100</v>
      </c>
      <c r="B4" s="385" t="n">
        <v>3.79</v>
      </c>
      <c r="C4" s="385" t="n">
        <v>4.39</v>
      </c>
      <c r="D4" s="385" t="n">
        <v>4.71</v>
      </c>
      <c r="E4" s="244" t="n"/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4" t="n"/>
    </row>
    <row r="5">
      <c r="A5" s="384" t="n">
        <v>150</v>
      </c>
      <c r="B5" s="385" t="n">
        <v>4.81</v>
      </c>
      <c r="C5" s="385" t="n">
        <v>5.71</v>
      </c>
      <c r="D5" s="385" t="n">
        <v>6.02</v>
      </c>
      <c r="E5" s="244" t="n"/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n"/>
    </row>
    <row r="6">
      <c r="A6" s="384" t="n">
        <v>200</v>
      </c>
      <c r="B6" s="385" t="n">
        <v>6.15</v>
      </c>
      <c r="C6" s="385" t="n">
        <v>7.2</v>
      </c>
      <c r="D6" s="385" t="n">
        <v>7.38</v>
      </c>
      <c r="E6" s="385" t="n">
        <v>8.18</v>
      </c>
      <c r="F6" s="244" t="n"/>
      <c r="G6" s="244" t="n"/>
      <c r="H6" s="244" t="n"/>
      <c r="I6" s="244" t="n"/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4" t="n"/>
    </row>
    <row r="7">
      <c r="A7" s="384" t="n">
        <v>225</v>
      </c>
      <c r="B7" s="385" t="n">
        <v>6.92</v>
      </c>
      <c r="C7" s="385" t="n">
        <v>8.130000000000001</v>
      </c>
      <c r="D7" s="385" t="n">
        <v>8.24</v>
      </c>
      <c r="E7" s="385" t="n">
        <v>9.220000000000001</v>
      </c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  <c r="O7" s="244" t="n"/>
      <c r="P7" s="244" t="n"/>
      <c r="Q7" s="244" t="n"/>
      <c r="R7" s="244" t="n"/>
      <c r="S7" s="244" t="n"/>
      <c r="T7" s="244" t="n"/>
    </row>
    <row r="8">
      <c r="A8" s="384" t="n">
        <v>250</v>
      </c>
      <c r="B8" s="385" t="n">
        <v>7.69</v>
      </c>
      <c r="C8" s="385" t="n">
        <v>8.94</v>
      </c>
      <c r="D8" s="385" t="n">
        <v>9.050000000000001</v>
      </c>
      <c r="E8" s="385" t="n">
        <v>10.03</v>
      </c>
      <c r="F8" s="385" t="n">
        <v>10.54</v>
      </c>
      <c r="G8" s="244" t="n"/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</row>
    <row r="9">
      <c r="A9" s="384" t="n">
        <v>300</v>
      </c>
      <c r="B9" s="385" t="n">
        <v>9.220000000000001</v>
      </c>
      <c r="C9" s="385" t="n">
        <v>10.73</v>
      </c>
      <c r="D9" s="385" t="n">
        <v>10.77</v>
      </c>
      <c r="E9" s="385" t="n">
        <v>11.88</v>
      </c>
      <c r="F9" s="385" t="n">
        <v>12.45</v>
      </c>
      <c r="G9" s="385" t="n">
        <v>14.41</v>
      </c>
      <c r="H9" s="385" t="n">
        <v>14.93</v>
      </c>
      <c r="I9" s="244" t="n"/>
      <c r="J9" s="244" t="n"/>
      <c r="K9" s="244" t="n"/>
      <c r="L9" s="244" t="n"/>
      <c r="M9" s="244" t="n"/>
      <c r="N9" s="244" t="n"/>
      <c r="O9" s="244" t="n"/>
      <c r="P9" s="244" t="n"/>
      <c r="Q9" s="244" t="n"/>
      <c r="R9" s="244" t="n"/>
      <c r="S9" s="244" t="n"/>
      <c r="T9" s="244" t="n"/>
    </row>
    <row r="10">
      <c r="A10" s="384" t="n">
        <v>350</v>
      </c>
      <c r="B10" s="385" t="n">
        <v>10.76</v>
      </c>
      <c r="C10" s="385" t="n">
        <v>12.53</v>
      </c>
      <c r="D10" s="385" t="n">
        <v>12.45</v>
      </c>
      <c r="E10" s="385" t="n">
        <v>13.78</v>
      </c>
      <c r="F10" s="385" t="n">
        <v>14.47</v>
      </c>
      <c r="G10" s="385" t="n">
        <v>17.3</v>
      </c>
      <c r="H10" s="385" t="n">
        <v>17.41</v>
      </c>
      <c r="I10" s="244" t="n"/>
      <c r="J10" s="244" t="n"/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</row>
    <row r="11">
      <c r="A11" s="384" t="n">
        <v>400</v>
      </c>
      <c r="B11" s="385" t="n">
        <v>12.08</v>
      </c>
      <c r="C11" s="385" t="n">
        <v>13.65</v>
      </c>
      <c r="D11" s="385" t="n">
        <v>13.77</v>
      </c>
      <c r="E11" s="385" t="n">
        <v>15.18</v>
      </c>
      <c r="F11" s="385" t="n">
        <v>16.14</v>
      </c>
      <c r="G11" s="385" t="n">
        <v>19.15</v>
      </c>
      <c r="H11" s="385" t="n">
        <v>19.37</v>
      </c>
      <c r="I11" s="385" t="n">
        <v>20.84</v>
      </c>
      <c r="J11" s="385" t="n">
        <v>21.86</v>
      </c>
      <c r="K11" s="244" t="n"/>
      <c r="L11" s="244" t="n"/>
      <c r="M11" s="244" t="n"/>
      <c r="N11" s="244" t="n"/>
      <c r="O11" s="244" t="n"/>
      <c r="P11" s="244" t="n"/>
      <c r="Q11" s="244" t="n"/>
      <c r="R11" s="244" t="n"/>
      <c r="S11" s="244" t="n"/>
      <c r="T11" s="244" t="n"/>
    </row>
    <row r="12">
      <c r="A12" s="384" t="n">
        <v>450</v>
      </c>
      <c r="B12" s="244" t="n"/>
      <c r="C12" s="244" t="n"/>
      <c r="D12" s="385" t="n">
        <v>15.35</v>
      </c>
      <c r="E12" s="385" t="n">
        <v>17.12</v>
      </c>
      <c r="F12" s="385" t="n">
        <v>18.24</v>
      </c>
      <c r="G12" s="385" t="n">
        <v>21.34</v>
      </c>
      <c r="H12" s="385" t="n">
        <v>21.62</v>
      </c>
      <c r="I12" s="385" t="n">
        <v>23.24</v>
      </c>
      <c r="J12" s="385" t="n">
        <v>24.36</v>
      </c>
      <c r="K12" s="244" t="n"/>
      <c r="L12" s="244" t="n"/>
      <c r="M12" s="244" t="n"/>
      <c r="N12" s="244" t="n"/>
      <c r="O12" s="244" t="n"/>
      <c r="P12" s="244" t="n"/>
      <c r="Q12" s="244" t="n"/>
      <c r="R12" s="244" t="n"/>
      <c r="S12" s="244" t="n"/>
      <c r="T12" s="244" t="n"/>
    </row>
    <row r="13">
      <c r="A13" s="384" t="n">
        <v>500</v>
      </c>
      <c r="B13" s="244" t="n"/>
      <c r="C13" s="244" t="n"/>
      <c r="D13" s="385" t="n">
        <v>17.06</v>
      </c>
      <c r="E13" s="385" t="n">
        <v>19.49</v>
      </c>
      <c r="F13" s="385" t="n">
        <v>20.49</v>
      </c>
      <c r="G13" s="385" t="n">
        <v>23.86</v>
      </c>
      <c r="H13" s="385" t="n">
        <v>24.2</v>
      </c>
      <c r="I13" s="385" t="n">
        <v>26.05</v>
      </c>
      <c r="J13" s="385" t="n">
        <v>27.12</v>
      </c>
      <c r="K13" s="385" t="n">
        <v>30.43</v>
      </c>
      <c r="L13" s="385" t="n">
        <v>30.99</v>
      </c>
      <c r="M13" s="244" t="n"/>
      <c r="N13" s="244" t="n"/>
      <c r="O13" s="244" t="n"/>
      <c r="P13" s="244" t="n"/>
      <c r="Q13" s="244" t="n"/>
      <c r="R13" s="244" t="n"/>
      <c r="S13" s="244" t="n"/>
      <c r="T13" s="244" t="n"/>
    </row>
    <row r="14">
      <c r="A14" s="384" t="n">
        <v>550</v>
      </c>
      <c r="B14" s="244" t="n"/>
      <c r="C14" s="244" t="n"/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4" t="n"/>
      <c r="P14" s="244" t="n"/>
      <c r="Q14" s="244" t="n"/>
      <c r="R14" s="244" t="n"/>
      <c r="S14" s="244" t="n"/>
      <c r="T14" s="244" t="n"/>
    </row>
    <row r="15">
      <c r="A15" s="384" t="n">
        <v>600</v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</row>
    <row r="16">
      <c r="A16" s="384" t="n">
        <v>650</v>
      </c>
      <c r="B16" s="244" t="n"/>
      <c r="C16" s="244" t="n"/>
      <c r="D16" s="244" t="n"/>
      <c r="E16" s="244" t="n"/>
      <c r="F16" s="244" t="n"/>
      <c r="G16" s="244" t="n"/>
      <c r="H16" s="244" t="n"/>
      <c r="I16" s="244" t="n"/>
      <c r="J16" s="244" t="n"/>
      <c r="K16" s="244" t="n"/>
      <c r="L16" s="244" t="n"/>
      <c r="M16" s="244" t="n"/>
      <c r="N16" s="244" t="n"/>
      <c r="O16" s="244" t="n"/>
      <c r="P16" s="244" t="n"/>
      <c r="Q16" s="244" t="n"/>
      <c r="R16" s="244" t="n"/>
      <c r="S16" s="244" t="n"/>
      <c r="T16" s="244" t="n"/>
    </row>
    <row r="17">
      <c r="A17" s="384" t="n">
        <v>700</v>
      </c>
      <c r="B17" s="244" t="n"/>
      <c r="C17" s="244" t="n"/>
      <c r="D17" s="244" t="n"/>
      <c r="E17" s="244" t="n"/>
      <c r="F17" s="244" t="n"/>
      <c r="G17" s="244" t="n"/>
      <c r="H17" s="244" t="n"/>
      <c r="I17" s="244" t="n"/>
      <c r="J17" s="244" t="n"/>
      <c r="K17" s="244" t="n"/>
      <c r="L17" s="244" t="n"/>
      <c r="M17" s="244" t="n"/>
      <c r="N17" s="244" t="n"/>
      <c r="O17" s="244" t="n"/>
      <c r="P17" s="244" t="n"/>
      <c r="Q17" s="244" t="n"/>
      <c r="R17" s="244" t="n"/>
      <c r="S17" s="244" t="n"/>
      <c r="T17" s="244" t="n"/>
    </row>
    <row r="18">
      <c r="A18" s="384" t="n">
        <v>750</v>
      </c>
      <c r="B18" s="244" t="n"/>
      <c r="C18" s="244" t="n"/>
      <c r="D18" s="244" t="n"/>
      <c r="E18" s="244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  <c r="O18" s="244" t="n"/>
      <c r="P18" s="244" t="n"/>
      <c r="Q18" s="244" t="n"/>
      <c r="R18" s="244" t="n"/>
      <c r="S18" s="244" t="n"/>
      <c r="T18" s="244" t="n"/>
    </row>
    <row r="19">
      <c r="A19" s="384" t="n">
        <v>800</v>
      </c>
      <c r="B19" s="244" t="n"/>
      <c r="C19" s="244" t="n"/>
      <c r="D19" s="244" t="n"/>
      <c r="E19" s="244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  <c r="O19" s="244" t="n"/>
      <c r="P19" s="244" t="n"/>
      <c r="Q19" s="244" t="n"/>
      <c r="R19" s="244" t="n"/>
      <c r="S19" s="244" t="n"/>
      <c r="T19" s="244" t="n"/>
    </row>
    <row r="20">
      <c r="A20" s="384" t="n">
        <v>850</v>
      </c>
      <c r="B20" s="244" t="n"/>
      <c r="C20" s="244" t="n"/>
      <c r="D20" s="244" t="n"/>
      <c r="E20" s="244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  <c r="O20" s="244" t="n"/>
      <c r="P20" s="244" t="n"/>
      <c r="Q20" s="244" t="n"/>
      <c r="R20" s="244" t="n"/>
      <c r="S20" s="244" t="n"/>
      <c r="T20" s="244" t="n"/>
    </row>
    <row r="21">
      <c r="A21" s="384" t="n">
        <v>900</v>
      </c>
      <c r="B21" s="244" t="n"/>
      <c r="C21" s="244" t="n"/>
      <c r="D21" s="244" t="n"/>
      <c r="E21" s="244" t="n"/>
      <c r="F21" s="244" t="n"/>
      <c r="G21" s="244" t="n"/>
      <c r="H21" s="244" t="n"/>
      <c r="I21" s="244" t="n"/>
      <c r="J21" s="244" t="n"/>
      <c r="K21" s="244" t="n"/>
      <c r="L21" s="244" t="n"/>
      <c r="M21" s="244" t="n"/>
      <c r="N21" s="244" t="n"/>
      <c r="O21" s="244" t="n"/>
      <c r="P21" s="244" t="n"/>
      <c r="Q21" s="244" t="n"/>
      <c r="R21" s="244" t="n"/>
      <c r="S21" s="244" t="n"/>
      <c r="T21" s="244" t="n"/>
    </row>
    <row r="22">
      <c r="A22" s="384" t="n">
        <v>950</v>
      </c>
      <c r="B22" s="244" t="n"/>
      <c r="C22" s="244" t="n"/>
      <c r="D22" s="244" t="n"/>
      <c r="E22" s="244" t="n"/>
      <c r="F22" s="244" t="n"/>
      <c r="G22" s="244" t="n"/>
      <c r="H22" s="244" t="n"/>
      <c r="I22" s="244" t="n"/>
      <c r="J22" s="244" t="n"/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</row>
    <row r="23">
      <c r="A23" s="384" t="n">
        <v>1000</v>
      </c>
      <c r="B23" s="244" t="n"/>
      <c r="C23" s="244" t="n"/>
      <c r="D23" s="244" t="n"/>
      <c r="E23" s="244" t="n"/>
      <c r="F23" s="244" t="n"/>
      <c r="G23" s="244" t="n"/>
      <c r="H23" s="244" t="n"/>
      <c r="I23" s="244" t="n"/>
      <c r="J23" s="244" t="n"/>
      <c r="K23" s="244" t="n"/>
      <c r="L23" s="244" t="n"/>
      <c r="M23" s="244" t="n"/>
      <c r="N23" s="244" t="n"/>
      <c r="O23" s="244" t="n"/>
      <c r="P23" s="244" t="n"/>
      <c r="Q23" s="244" t="n"/>
      <c r="R23" s="244" t="n"/>
      <c r="S23" s="244" t="n"/>
      <c r="T23" s="244" t="n"/>
    </row>
    <row r="24">
      <c r="A24" s="384" t="n">
        <v>1050</v>
      </c>
      <c r="B24" s="244" t="n"/>
      <c r="C24" s="244" t="n"/>
      <c r="D24" s="244" t="n"/>
      <c r="E24" s="244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  <c r="O24" s="244" t="n"/>
      <c r="P24" s="244" t="n"/>
      <c r="Q24" s="244" t="n"/>
      <c r="R24" s="244" t="n"/>
      <c r="S24" s="244" t="n"/>
      <c r="T24" s="244" t="n"/>
    </row>
    <row r="25">
      <c r="A25" s="384" t="n">
        <v>1100</v>
      </c>
      <c r="B25" s="244" t="n"/>
      <c r="C25" s="244" t="n"/>
      <c r="D25" s="244" t="n"/>
      <c r="E25" s="244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  <c r="O25" s="244" t="n"/>
      <c r="P25" s="244" t="n"/>
      <c r="Q25" s="244" t="n"/>
      <c r="R25" s="244" t="n"/>
      <c r="S25" s="244" t="n"/>
      <c r="T25" s="244" t="n"/>
    </row>
    <row r="26">
      <c r="A26" s="384" t="n">
        <v>1150</v>
      </c>
      <c r="B26" s="244" t="n"/>
      <c r="C26" s="244" t="n"/>
      <c r="D26" s="244" t="n"/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n"/>
      <c r="T26" s="244" t="n"/>
    </row>
    <row r="27">
      <c r="A27" s="384" t="n">
        <v>1200</v>
      </c>
      <c r="B27" s="244" t="n"/>
      <c r="C27" s="244" t="n"/>
      <c r="D27" s="244" t="n"/>
      <c r="E27" s="244" t="n"/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  <c r="O27" s="244" t="n"/>
      <c r="P27" s="244" t="n"/>
      <c r="Q27" s="244" t="n"/>
      <c r="R27" s="244" t="n"/>
      <c r="S27" s="244" t="n"/>
      <c r="T27" s="244" t="n"/>
    </row>
    <row r="28">
      <c r="A28" s="384" t="n">
        <v>1250</v>
      </c>
      <c r="B28" s="244" t="n"/>
      <c r="C28" s="244" t="n"/>
      <c r="D28" s="244" t="n"/>
      <c r="E28" s="244" t="n"/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</row>
    <row r="29">
      <c r="A29" s="384" t="n">
        <v>1300</v>
      </c>
      <c r="B29" s="244" t="n"/>
      <c r="C29" s="244" t="n"/>
      <c r="D29" s="244" t="n"/>
      <c r="E29" s="244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  <c r="O29" s="244" t="n"/>
      <c r="P29" s="244" t="n"/>
      <c r="Q29" s="244" t="n"/>
      <c r="R29" s="244" t="n"/>
      <c r="S29" s="244" t="n"/>
      <c r="T29" s="244" t="n"/>
    </row>
    <row r="30">
      <c r="A30" s="384" t="n">
        <v>1350</v>
      </c>
      <c r="B30" s="244" t="n"/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  <c r="O30" s="244" t="n"/>
      <c r="P30" s="244" t="n"/>
      <c r="Q30" s="244" t="n"/>
      <c r="R30" s="244" t="n"/>
      <c r="S30" s="244" t="n"/>
      <c r="T30" s="244" t="n"/>
    </row>
    <row r="31">
      <c r="A31" s="384" t="n">
        <v>1400</v>
      </c>
      <c r="B31" s="244" t="n"/>
      <c r="C31" s="244" t="n"/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n"/>
      <c r="N31" s="244" t="n"/>
      <c r="O31" s="244" t="n"/>
      <c r="P31" s="244" t="n"/>
      <c r="Q31" s="244" t="n"/>
      <c r="R31" s="244" t="n"/>
      <c r="S31" s="244" t="n"/>
      <c r="T31" s="244" t="n"/>
    </row>
    <row r="32">
      <c r="A32" s="384" t="n">
        <v>1450</v>
      </c>
      <c r="B32" s="244" t="n"/>
      <c r="C32" s="244" t="n"/>
      <c r="D32" s="244" t="n"/>
      <c r="E32" s="244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  <c r="O32" s="244" t="n"/>
      <c r="P32" s="244" t="n"/>
      <c r="Q32" s="244" t="n"/>
      <c r="R32" s="244" t="n"/>
      <c r="S32" s="244" t="n"/>
      <c r="T32" s="244" t="n"/>
    </row>
    <row r="33">
      <c r="A33" s="384" t="n">
        <v>1500</v>
      </c>
      <c r="B33" s="244" t="n"/>
      <c r="C33" s="244" t="n"/>
      <c r="D33" s="244" t="n"/>
      <c r="E33" s="244" t="n"/>
      <c r="F33" s="244" t="n"/>
      <c r="G33" s="244" t="n"/>
      <c r="H33" s="244" t="n"/>
      <c r="I33" s="244" t="n"/>
      <c r="J33" s="244" t="n"/>
      <c r="K33" s="244" t="n"/>
      <c r="L33" s="244" t="n"/>
      <c r="M33" s="244" t="n"/>
      <c r="N33" s="244" t="n"/>
      <c r="O33" s="244" t="n"/>
      <c r="P33" s="244" t="n"/>
      <c r="Q33" s="244" t="n"/>
      <c r="R33" s="244" t="n"/>
      <c r="S33" s="244" t="n"/>
      <c r="T33" s="24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371" t="inlineStr">
        <is>
          <t>SUNDRY — toebehoren (€)</t>
        </is>
      </c>
    </row>
    <row r="3">
      <c r="A3" s="315" t="inlineStr">
        <is>
          <t>DN ondergrens</t>
        </is>
      </c>
      <c r="B3" s="315" t="inlineStr">
        <is>
          <t>Bereik</t>
        </is>
      </c>
      <c r="C3" s="315" t="inlineStr">
        <is>
          <t>Verloop</t>
        </is>
      </c>
      <c r="D3" s="315" t="inlineStr">
        <is>
          <t>Eindstuk</t>
        </is>
      </c>
      <c r="E3" s="315" t="inlineStr">
        <is>
          <t>Omslaan</t>
        </is>
      </c>
      <c r="F3" s="315" t="inlineStr">
        <is>
          <t>Korte lengte</t>
        </is>
      </c>
      <c r="G3" s="315" t="inlineStr">
        <is>
          <t>Min. order (m)</t>
        </is>
      </c>
    </row>
    <row r="4">
      <c r="A4" s="262" t="n">
        <v>0</v>
      </c>
      <c r="B4" s="244" t="inlineStr">
        <is>
          <t>0 - 250</t>
        </is>
      </c>
      <c r="C4" s="385" t="n">
        <v>235.72</v>
      </c>
      <c r="D4" s="385" t="n">
        <v>160.98</v>
      </c>
      <c r="E4" s="385" t="n">
        <v>160.98</v>
      </c>
      <c r="F4" s="385" t="n">
        <v>0</v>
      </c>
      <c r="G4" s="244" t="n">
        <v>0</v>
      </c>
    </row>
    <row r="5">
      <c r="A5" s="262" t="n">
        <v>251</v>
      </c>
      <c r="B5" s="244" t="inlineStr">
        <is>
          <t>251 - 300</t>
        </is>
      </c>
      <c r="C5" s="385" t="n">
        <v>252.96</v>
      </c>
      <c r="D5" s="385" t="n">
        <v>160.98</v>
      </c>
      <c r="E5" s="385" t="n">
        <v>160.98</v>
      </c>
      <c r="F5" s="385" t="n">
        <v>0</v>
      </c>
      <c r="G5" s="244" t="n">
        <v>0</v>
      </c>
    </row>
    <row r="6">
      <c r="A6" s="262" t="n">
        <v>301</v>
      </c>
      <c r="B6" s="244" t="inlineStr">
        <is>
          <t>301 - 350</t>
        </is>
      </c>
      <c r="C6" s="385" t="n">
        <v>264.46</v>
      </c>
      <c r="D6" s="385" t="n">
        <v>160.98</v>
      </c>
      <c r="E6" s="385" t="n">
        <v>160.98</v>
      </c>
      <c r="F6" s="385" t="n">
        <v>0</v>
      </c>
      <c r="G6" s="244" t="n">
        <v>0</v>
      </c>
    </row>
    <row r="7">
      <c r="A7" s="262" t="n">
        <v>351</v>
      </c>
      <c r="B7" s="244" t="inlineStr">
        <is>
          <t>351 - 400</t>
        </is>
      </c>
      <c r="C7" s="385" t="n">
        <v>264.46</v>
      </c>
      <c r="D7" s="385" t="n">
        <v>166.73</v>
      </c>
      <c r="E7" s="385" t="n">
        <v>166.73</v>
      </c>
      <c r="F7" s="385" t="n">
        <v>0</v>
      </c>
      <c r="G7" s="244" t="n">
        <v>0</v>
      </c>
    </row>
    <row r="8">
      <c r="A8" s="262" t="n">
        <v>401</v>
      </c>
      <c r="B8" s="244" t="inlineStr">
        <is>
          <t>401 - 450</t>
        </is>
      </c>
      <c r="C8" s="385" t="n">
        <v>298.96</v>
      </c>
      <c r="D8" s="385" t="n">
        <v>189.72</v>
      </c>
      <c r="E8" s="385" t="n">
        <v>189.72</v>
      </c>
      <c r="F8" s="385" t="n">
        <v>0</v>
      </c>
      <c r="G8" s="244" t="n">
        <v>0</v>
      </c>
    </row>
    <row r="9">
      <c r="A9" s="262" t="n">
        <v>451</v>
      </c>
      <c r="B9" s="244" t="inlineStr">
        <is>
          <t>451 - 550</t>
        </is>
      </c>
      <c r="C9" s="385" t="n">
        <v>327.7</v>
      </c>
      <c r="D9" s="385" t="n">
        <v>195.47</v>
      </c>
      <c r="E9" s="385" t="n">
        <v>195.47</v>
      </c>
      <c r="F9" s="385" t="n">
        <v>0</v>
      </c>
      <c r="G9" s="244" t="n">
        <v>0</v>
      </c>
    </row>
    <row r="10">
      <c r="A10" s="262" t="n">
        <v>551</v>
      </c>
      <c r="B10" s="244" t="inlineStr">
        <is>
          <t>551 - 650</t>
        </is>
      </c>
      <c r="C10" s="385" t="n">
        <v>344.95</v>
      </c>
      <c r="D10" s="385" t="n">
        <v>252.96</v>
      </c>
      <c r="E10" s="385" t="n">
        <v>252.96</v>
      </c>
      <c r="F10" s="385" t="n">
        <v>574.92</v>
      </c>
      <c r="G10" s="244" t="n">
        <v>80</v>
      </c>
    </row>
    <row r="11">
      <c r="A11" s="262" t="n">
        <v>651</v>
      </c>
      <c r="B11" s="244" t="inlineStr">
        <is>
          <t>651 - 750</t>
        </is>
      </c>
      <c r="C11" s="385" t="n">
        <v>379.45</v>
      </c>
      <c r="D11" s="385" t="n">
        <v>321.96</v>
      </c>
      <c r="E11" s="385" t="n">
        <v>321.96</v>
      </c>
      <c r="F11" s="385" t="n">
        <v>574.92</v>
      </c>
      <c r="G11" s="244" t="n">
        <v>50</v>
      </c>
    </row>
    <row r="12">
      <c r="A12" s="262" t="n">
        <v>751</v>
      </c>
      <c r="B12" s="244" t="inlineStr">
        <is>
          <t>751 - 850</t>
        </is>
      </c>
      <c r="C12" s="385" t="n">
        <v>402.44</v>
      </c>
      <c r="D12" s="385" t="n">
        <v>385.2</v>
      </c>
      <c r="E12" s="385" t="n">
        <v>385.2</v>
      </c>
      <c r="F12" s="385" t="n">
        <v>574.92</v>
      </c>
      <c r="G12" s="244" t="n">
        <v>50</v>
      </c>
    </row>
    <row r="13">
      <c r="A13" s="262" t="n">
        <v>851</v>
      </c>
      <c r="B13" s="244" t="inlineStr">
        <is>
          <t>851 - 900</t>
        </is>
      </c>
      <c r="C13" s="385" t="n">
        <v>459.94</v>
      </c>
      <c r="D13" s="385" t="n">
        <v>431.19</v>
      </c>
      <c r="E13" s="385" t="n">
        <v>431.19</v>
      </c>
      <c r="F13" s="385" t="n">
        <v>574.92</v>
      </c>
      <c r="G13" s="244" t="n">
        <v>50</v>
      </c>
    </row>
    <row r="14">
      <c r="A14" s="262" t="n">
        <v>901</v>
      </c>
      <c r="B14" s="244" t="inlineStr">
        <is>
          <t>901 - 950</t>
        </is>
      </c>
      <c r="C14" s="385" t="n">
        <v>517.4299999999999</v>
      </c>
      <c r="D14" s="385" t="n">
        <v>459.94</v>
      </c>
      <c r="E14" s="385" t="n">
        <v>459.94</v>
      </c>
      <c r="F14" s="385" t="n">
        <v>574.92</v>
      </c>
      <c r="G14" s="244" t="n">
        <v>50</v>
      </c>
    </row>
    <row r="15">
      <c r="A15" s="262" t="n">
        <v>951</v>
      </c>
      <c r="B15" s="244" t="inlineStr">
        <is>
          <t>951 - 1100</t>
        </is>
      </c>
      <c r="C15" s="385" t="n">
        <v>574.92</v>
      </c>
      <c r="D15" s="385" t="n">
        <v>488.68</v>
      </c>
      <c r="E15" s="385" t="n">
        <v>488.68</v>
      </c>
      <c r="F15" s="385" t="n">
        <v>574.92</v>
      </c>
      <c r="G15" s="244" t="n">
        <v>50</v>
      </c>
    </row>
    <row r="16">
      <c r="A16" s="262" t="n">
        <v>1101</v>
      </c>
      <c r="B16" s="244" t="inlineStr">
        <is>
          <t>1101 - 1150</t>
        </is>
      </c>
      <c r="C16" s="385" t="n">
        <v>689.9</v>
      </c>
      <c r="D16" s="385" t="n">
        <v>580.67</v>
      </c>
      <c r="E16" s="385" t="n">
        <v>580.67</v>
      </c>
      <c r="F16" s="385" t="n">
        <v>574.92</v>
      </c>
      <c r="G16" s="244" t="n">
        <v>25</v>
      </c>
    </row>
    <row r="17">
      <c r="A17" s="262" t="n">
        <v>1151</v>
      </c>
      <c r="B17" s="244" t="inlineStr">
        <is>
          <t>1151 - 1250</t>
        </is>
      </c>
      <c r="C17" s="385" t="n">
        <v>804.89</v>
      </c>
      <c r="D17" s="385" t="n">
        <v>672.66</v>
      </c>
      <c r="E17" s="385" t="n">
        <v>672.66</v>
      </c>
      <c r="F17" s="385" t="n">
        <v>574.92</v>
      </c>
      <c r="G17" s="244" t="n">
        <v>25</v>
      </c>
    </row>
    <row r="18">
      <c r="A18" s="262" t="n">
        <v>1251</v>
      </c>
      <c r="B18" s="244" t="inlineStr">
        <is>
          <t>1251 - 1400</t>
        </is>
      </c>
      <c r="C18" s="385" t="n">
        <v>862.38</v>
      </c>
      <c r="D18" s="385" t="n">
        <v>718.65</v>
      </c>
      <c r="E18" s="385" t="n">
        <v>718.65</v>
      </c>
      <c r="F18" s="385" t="n">
        <v>574.92</v>
      </c>
      <c r="G18" s="244" t="n">
        <v>25</v>
      </c>
    </row>
    <row r="19">
      <c r="A19" s="262" t="n">
        <v>1401</v>
      </c>
      <c r="B19" s="244" t="inlineStr">
        <is>
          <t>1401 - 1600</t>
        </is>
      </c>
      <c r="C19" s="385" t="n">
        <v>1149.84</v>
      </c>
      <c r="D19" s="385" t="n">
        <v>862.38</v>
      </c>
      <c r="E19" s="385" t="n">
        <v>862.38</v>
      </c>
      <c r="F19" s="385" t="n">
        <v>574.92</v>
      </c>
      <c r="G19" s="244" t="n">
        <v>25</v>
      </c>
    </row>
    <row r="20">
      <c r="A20" s="262" t="n">
        <v>1601</v>
      </c>
      <c r="B20" s="244" t="inlineStr">
        <is>
          <t>1601 +</t>
        </is>
      </c>
      <c r="C20" s="385" t="n">
        <v>1494.79</v>
      </c>
      <c r="D20" s="385" t="n">
        <v>1149.84</v>
      </c>
      <c r="E20" s="385" t="n">
        <v>1149.84</v>
      </c>
      <c r="F20" s="385" t="n">
        <v>574.92</v>
      </c>
      <c r="G20" s="244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7" customWidth="1" min="4" max="4"/>
    <col width="11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9" customWidth="1" min="12" max="12"/>
    <col width="13" customWidth="1" min="13" max="13"/>
    <col width="8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4" customWidth="1" min="20" max="20"/>
  </cols>
  <sheetData>
    <row r="1">
      <c r="A1" s="371" t="inlineStr">
        <is>
          <t>INSITUFORM DETAILCALCULATIE — impregnatie + droge kous + sundry per kous</t>
        </is>
      </c>
    </row>
    <row r="2">
      <c r="A2" s="386" t="inlineStr">
        <is>
          <t>Basis (oranje) verplicht: DN, dikte, lengte geimpr. — Detail (geel) optioneel. Grijs = automatisch. Sluit aan op de 'Materiaal'-regels in Calculatie.</t>
        </is>
      </c>
    </row>
    <row r="4" ht="30" customHeight="1">
      <c r="A4" s="315" t="inlineStr">
        <is>
          <t>Kous</t>
        </is>
      </c>
      <c r="B4" s="315" t="inlineStr">
        <is>
          <t>Omschrijving / locatie</t>
        </is>
      </c>
      <c r="C4" s="387" t="inlineStr">
        <is>
          <t>DN</t>
        </is>
      </c>
      <c r="D4" s="387" t="inlineStr">
        <is>
          <t>Dikte
(mm)</t>
        </is>
      </c>
      <c r="E4" s="387" t="inlineStr">
        <is>
          <t>Lengte geimpr.
(m)</t>
        </is>
      </c>
      <c r="F4" s="315" t="inlineStr">
        <is>
          <t>Omslaan
(m)</t>
        </is>
      </c>
      <c r="G4" s="315" t="inlineStr">
        <is>
          <t># Eind-
stuk</t>
        </is>
      </c>
      <c r="H4" s="315" t="inlineStr">
        <is>
          <t># Om-
slaan</t>
        </is>
      </c>
      <c r="I4" s="315" t="inlineStr">
        <is>
          <t># Ver-
loop</t>
        </is>
      </c>
      <c r="J4" s="315" t="inlineStr">
        <is>
          <t>Voor-
raad?</t>
        </is>
      </c>
      <c r="K4" s="315" t="inlineStr">
        <is>
          <t>Droge kous
(m)</t>
        </is>
      </c>
      <c r="L4" s="315" t="inlineStr">
        <is>
          <t>€/m
impregn.</t>
        </is>
      </c>
      <c r="M4" s="315" t="inlineStr">
        <is>
          <t>Kosten
impregnatie</t>
        </is>
      </c>
      <c r="N4" s="315" t="inlineStr">
        <is>
          <t>€/m
droog</t>
        </is>
      </c>
      <c r="O4" s="315" t="inlineStr">
        <is>
          <t>Kosten
droge kous</t>
        </is>
      </c>
      <c r="P4" s="315" t="inlineStr">
        <is>
          <t>Kosten
eindstuk</t>
        </is>
      </c>
      <c r="Q4" s="315" t="inlineStr">
        <is>
          <t>Kosten
omslaan</t>
        </is>
      </c>
      <c r="R4" s="315" t="inlineStr">
        <is>
          <t>Kosten
verloop</t>
        </is>
      </c>
      <c r="S4" s="315" t="inlineStr">
        <is>
          <t>Korte
lengte</t>
        </is>
      </c>
      <c r="T4" s="315" t="inlineStr">
        <is>
          <t>TOTAAL
per kous</t>
        </is>
      </c>
    </row>
    <row r="5">
      <c r="A5" s="388" t="inlineStr">
        <is>
          <t>501</t>
        </is>
      </c>
      <c r="B5" s="388" t="inlineStr">
        <is>
          <t>schansbaan, 18D0543</t>
        </is>
      </c>
      <c r="C5" s="389" t="n">
        <v>250</v>
      </c>
      <c r="D5" s="389" t="n">
        <v>6</v>
      </c>
      <c r="E5" s="390" t="n">
        <v>121.8</v>
      </c>
      <c r="F5" s="391" t="n">
        <v>4.75</v>
      </c>
      <c r="G5" s="306" t="n">
        <v>1</v>
      </c>
      <c r="H5" s="306" t="n">
        <v>1</v>
      </c>
      <c r="I5" s="306" t="n">
        <v>0</v>
      </c>
      <c r="J5" s="306" t="inlineStr">
        <is>
          <t>J</t>
        </is>
      </c>
      <c r="K5" s="392">
        <f>IF(ISNUMBER(E5),IF(ISNUMBER(F5),F5,Instellingen!$B$6)+Instellingen!$B$5,"")</f>
        <v/>
      </c>
      <c r="L5" s="392">
        <f>IFERROR(INDEX(Impregnatie!$B$4:$O$25,MATCH(C5,Impregnatie!$A$4:$A$25,0),MATCH(D5,Impregnatie!$B$3:$O$3,0))*(1+Instellingen!$B$4),"")</f>
        <v/>
      </c>
      <c r="M5" s="392">
        <f>IF(AND(ISNUMBER(E5),ISNUMBER(L5)),E5*L5,0)</f>
        <v/>
      </c>
      <c r="N5" s="392">
        <f>IFERROR(INDEX('Droge kous'!$B$4:$T$33,MATCH(C5,'Droge kous'!$A$4:$A$33,0),MATCH(D5,'Droge kous'!$B$3:$T$3,0)),"")</f>
        <v/>
      </c>
      <c r="O5" s="392">
        <f>IF(AND(ISNUMBER(K5),ISNUMBER(N5)),K5*N5,0)</f>
        <v/>
      </c>
      <c r="P5" s="392">
        <f>IF(ISNUMBER(C5),IFERROR(N(G5)*VLOOKUP(C5,Sundry!$A$4:$G$20,4,TRUE),0),0)</f>
        <v/>
      </c>
      <c r="Q5" s="392">
        <f>IF(ISNUMBER(C5),IFERROR(N(H5)*VLOOKUP(C5,Sundry!$A$4:$G$20,5,TRUE),0),0)</f>
        <v/>
      </c>
      <c r="R5" s="392">
        <f>IF(ISNUMBER(C5),IFERROR(N(I5)*VLOOKUP(C5,Sundry!$A$4:$G$20,3,TRUE),0),0)</f>
        <v/>
      </c>
      <c r="S5" s="392">
        <f>IF(AND(ISNUMBER(C5),ISNUMBER(E5),UPPER(J5)="N",E5&lt;VLOOKUP(C5,Sundry!$A$4:$G$20,7,TRUE)),VLOOKUP(C5,Sundry!$A$4:$G$20,6,TRUE),0)</f>
        <v/>
      </c>
      <c r="T5" s="393">
        <f>M5+O5+P5+Q5+R5+S5</f>
        <v/>
      </c>
    </row>
    <row r="6">
      <c r="A6" s="388" t="inlineStr">
        <is>
          <t>502</t>
        </is>
      </c>
      <c r="B6" s="388" t="inlineStr">
        <is>
          <t>semsschans, 18D0553</t>
        </is>
      </c>
      <c r="C6" s="389" t="n">
        <v>250</v>
      </c>
      <c r="D6" s="389" t="n">
        <v>6</v>
      </c>
      <c r="E6" s="390" t="n">
        <v>30.6</v>
      </c>
      <c r="F6" s="391" t="n">
        <v>4.34</v>
      </c>
      <c r="G6" s="306" t="n">
        <v>1</v>
      </c>
      <c r="H6" s="306" t="n">
        <v>1</v>
      </c>
      <c r="I6" s="306" t="n">
        <v>0</v>
      </c>
      <c r="J6" s="306" t="inlineStr">
        <is>
          <t>J</t>
        </is>
      </c>
      <c r="K6" s="392">
        <f>IF(ISNUMBER(E6),IF(ISNUMBER(F6),F6,Instellingen!$B$6)+Instellingen!$B$5,"")</f>
        <v/>
      </c>
      <c r="L6" s="392">
        <f>IFERROR(INDEX(Impregnatie!$B$4:$O$25,MATCH(C6,Impregnatie!$A$4:$A$25,0),MATCH(D6,Impregnatie!$B$3:$O$3,0))*(1+Instellingen!$B$4),"")</f>
        <v/>
      </c>
      <c r="M6" s="392">
        <f>IF(AND(ISNUMBER(E6),ISNUMBER(L6)),E6*L6,0)</f>
        <v/>
      </c>
      <c r="N6" s="392">
        <f>IFERROR(INDEX('Droge kous'!$B$4:$T$33,MATCH(C6,'Droge kous'!$A$4:$A$33,0),MATCH(D6,'Droge kous'!$B$3:$T$3,0)),"")</f>
        <v/>
      </c>
      <c r="O6" s="392">
        <f>IF(AND(ISNUMBER(K6),ISNUMBER(N6)),K6*N6,0)</f>
        <v/>
      </c>
      <c r="P6" s="392">
        <f>IF(ISNUMBER(C6),IFERROR(N(G6)*VLOOKUP(C6,Sundry!$A$4:$G$20,4,TRUE),0),0)</f>
        <v/>
      </c>
      <c r="Q6" s="392">
        <f>IF(ISNUMBER(C6),IFERROR(N(H6)*VLOOKUP(C6,Sundry!$A$4:$G$20,5,TRUE),0),0)</f>
        <v/>
      </c>
      <c r="R6" s="392">
        <f>IF(ISNUMBER(C6),IFERROR(N(I6)*VLOOKUP(C6,Sundry!$A$4:$G$20,3,TRUE),0),0)</f>
        <v/>
      </c>
      <c r="S6" s="392">
        <f>IF(AND(ISNUMBER(C6),ISNUMBER(E6),UPPER(J6)="N",E6&lt;VLOOKUP(C6,Sundry!$A$4:$G$20,7,TRUE)),VLOOKUP(C6,Sundry!$A$4:$G$20,6,TRUE),0)</f>
        <v/>
      </c>
      <c r="T6" s="393">
        <f>M6+O6+P6+Q6+R6+S6</f>
        <v/>
      </c>
    </row>
    <row r="7">
      <c r="A7" s="388" t="inlineStr">
        <is>
          <t>503</t>
        </is>
      </c>
      <c r="B7" s="388" t="inlineStr">
        <is>
          <t>semsschans, 18D0554</t>
        </is>
      </c>
      <c r="C7" s="389" t="n">
        <v>250</v>
      </c>
      <c r="D7" s="389" t="n">
        <v>6</v>
      </c>
      <c r="E7" s="390" t="n">
        <v>60</v>
      </c>
      <c r="F7" s="391" t="n">
        <v>4.3</v>
      </c>
      <c r="G7" s="306" t="n">
        <v>1</v>
      </c>
      <c r="H7" s="306" t="n">
        <v>1</v>
      </c>
      <c r="I7" s="306" t="n">
        <v>0</v>
      </c>
      <c r="J7" s="306" t="inlineStr">
        <is>
          <t>J</t>
        </is>
      </c>
      <c r="K7" s="392">
        <f>IF(ISNUMBER(E7),IF(ISNUMBER(F7),F7,Instellingen!$B$6)+Instellingen!$B$5,"")</f>
        <v/>
      </c>
      <c r="L7" s="392">
        <f>IFERROR(INDEX(Impregnatie!$B$4:$O$25,MATCH(C7,Impregnatie!$A$4:$A$25,0),MATCH(D7,Impregnatie!$B$3:$O$3,0))*(1+Instellingen!$B$4),"")</f>
        <v/>
      </c>
      <c r="M7" s="392">
        <f>IF(AND(ISNUMBER(E7),ISNUMBER(L7)),E7*L7,0)</f>
        <v/>
      </c>
      <c r="N7" s="392">
        <f>IFERROR(INDEX('Droge kous'!$B$4:$T$33,MATCH(C7,'Droge kous'!$A$4:$A$33,0),MATCH(D7,'Droge kous'!$B$3:$T$3,0)),"")</f>
        <v/>
      </c>
      <c r="O7" s="392">
        <f>IF(AND(ISNUMBER(K7),ISNUMBER(N7)),K7*N7,0)</f>
        <v/>
      </c>
      <c r="P7" s="392">
        <f>IF(ISNUMBER(C7),IFERROR(N(G7)*VLOOKUP(C7,Sundry!$A$4:$G$20,4,TRUE),0),0)</f>
        <v/>
      </c>
      <c r="Q7" s="392">
        <f>IF(ISNUMBER(C7),IFERROR(N(H7)*VLOOKUP(C7,Sundry!$A$4:$G$20,5,TRUE),0),0)</f>
        <v/>
      </c>
      <c r="R7" s="392">
        <f>IF(ISNUMBER(C7),IFERROR(N(I7)*VLOOKUP(C7,Sundry!$A$4:$G$20,3,TRUE),0),0)</f>
        <v/>
      </c>
      <c r="S7" s="392">
        <f>IF(AND(ISNUMBER(C7),ISNUMBER(E7),UPPER(J7)="N",E7&lt;VLOOKUP(C7,Sundry!$A$4:$G$20,7,TRUE)),VLOOKUP(C7,Sundry!$A$4:$G$20,6,TRUE),0)</f>
        <v/>
      </c>
      <c r="T7" s="393">
        <f>M7+O7+P7+Q7+R7+S7</f>
        <v/>
      </c>
    </row>
    <row r="8">
      <c r="A8" s="388" t="inlineStr">
        <is>
          <t>504</t>
        </is>
      </c>
      <c r="B8" s="388" t="inlineStr">
        <is>
          <t>van rijswijckschans, 18D0461</t>
        </is>
      </c>
      <c r="C8" s="389" t="n">
        <v>250</v>
      </c>
      <c r="D8" s="389" t="n">
        <v>6</v>
      </c>
      <c r="E8" s="390" t="n">
        <v>104.7</v>
      </c>
      <c r="F8" s="391" t="n">
        <v>4.44</v>
      </c>
      <c r="G8" s="306" t="n">
        <v>1</v>
      </c>
      <c r="H8" s="306" t="n">
        <v>1</v>
      </c>
      <c r="I8" s="306" t="n">
        <v>0</v>
      </c>
      <c r="J8" s="306" t="inlineStr">
        <is>
          <t>J</t>
        </is>
      </c>
      <c r="K8" s="392">
        <f>IF(ISNUMBER(E8),IF(ISNUMBER(F8),F8,Instellingen!$B$6)+Instellingen!$B$5,"")</f>
        <v/>
      </c>
      <c r="L8" s="392">
        <f>IFERROR(INDEX(Impregnatie!$B$4:$O$25,MATCH(C8,Impregnatie!$A$4:$A$25,0),MATCH(D8,Impregnatie!$B$3:$O$3,0))*(1+Instellingen!$B$4),"")</f>
        <v/>
      </c>
      <c r="M8" s="392">
        <f>IF(AND(ISNUMBER(E8),ISNUMBER(L8)),E8*L8,0)</f>
        <v/>
      </c>
      <c r="N8" s="392">
        <f>IFERROR(INDEX('Droge kous'!$B$4:$T$33,MATCH(C8,'Droge kous'!$A$4:$A$33,0),MATCH(D8,'Droge kous'!$B$3:$T$3,0)),"")</f>
        <v/>
      </c>
      <c r="O8" s="392">
        <f>IF(AND(ISNUMBER(K8),ISNUMBER(N8)),K8*N8,0)</f>
        <v/>
      </c>
      <c r="P8" s="392">
        <f>IF(ISNUMBER(C8),IFERROR(N(G8)*VLOOKUP(C8,Sundry!$A$4:$G$20,4,TRUE),0),0)</f>
        <v/>
      </c>
      <c r="Q8" s="392">
        <f>IF(ISNUMBER(C8),IFERROR(N(H8)*VLOOKUP(C8,Sundry!$A$4:$G$20,5,TRUE),0),0)</f>
        <v/>
      </c>
      <c r="R8" s="392">
        <f>IF(ISNUMBER(C8),IFERROR(N(I8)*VLOOKUP(C8,Sundry!$A$4:$G$20,3,TRUE),0),0)</f>
        <v/>
      </c>
      <c r="S8" s="392">
        <f>IF(AND(ISNUMBER(C8),ISNUMBER(E8),UPPER(J8)="N",E8&lt;VLOOKUP(C8,Sundry!$A$4:$G$20,7,TRUE)),VLOOKUP(C8,Sundry!$A$4:$G$20,6,TRUE),0)</f>
        <v/>
      </c>
      <c r="T8" s="393">
        <f>M8+O8+P8+Q8+R8+S8</f>
        <v/>
      </c>
    </row>
    <row r="9">
      <c r="A9" s="388" t="inlineStr">
        <is>
          <t>505</t>
        </is>
      </c>
      <c r="B9" s="388" t="inlineStr">
        <is>
          <t>van rijswijckschans, 18D0456</t>
        </is>
      </c>
      <c r="C9" s="389" t="n">
        <v>250</v>
      </c>
      <c r="D9" s="389" t="n">
        <v>6</v>
      </c>
      <c r="E9" s="390" t="n">
        <v>67.3</v>
      </c>
      <c r="F9" s="391" t="n">
        <v>4.61</v>
      </c>
      <c r="G9" s="306" t="n">
        <v>1</v>
      </c>
      <c r="H9" s="306" t="n">
        <v>1</v>
      </c>
      <c r="I9" s="306" t="n">
        <v>0</v>
      </c>
      <c r="J9" s="306" t="inlineStr">
        <is>
          <t>J</t>
        </is>
      </c>
      <c r="K9" s="392">
        <f>IF(ISNUMBER(E9),IF(ISNUMBER(F9),F9,Instellingen!$B$6)+Instellingen!$B$5,"")</f>
        <v/>
      </c>
      <c r="L9" s="392">
        <f>IFERROR(INDEX(Impregnatie!$B$4:$O$25,MATCH(C9,Impregnatie!$A$4:$A$25,0),MATCH(D9,Impregnatie!$B$3:$O$3,0))*(1+Instellingen!$B$4),"")</f>
        <v/>
      </c>
      <c r="M9" s="392">
        <f>IF(AND(ISNUMBER(E9),ISNUMBER(L9)),E9*L9,0)</f>
        <v/>
      </c>
      <c r="N9" s="392">
        <f>IFERROR(INDEX('Droge kous'!$B$4:$T$33,MATCH(C9,'Droge kous'!$A$4:$A$33,0),MATCH(D9,'Droge kous'!$B$3:$T$3,0)),"")</f>
        <v/>
      </c>
      <c r="O9" s="392">
        <f>IF(AND(ISNUMBER(K9),ISNUMBER(N9)),K9*N9,0)</f>
        <v/>
      </c>
      <c r="P9" s="392">
        <f>IF(ISNUMBER(C9),IFERROR(N(G9)*VLOOKUP(C9,Sundry!$A$4:$G$20,4,TRUE),0),0)</f>
        <v/>
      </c>
      <c r="Q9" s="392">
        <f>IF(ISNUMBER(C9),IFERROR(N(H9)*VLOOKUP(C9,Sundry!$A$4:$G$20,5,TRUE),0),0)</f>
        <v/>
      </c>
      <c r="R9" s="392">
        <f>IF(ISNUMBER(C9),IFERROR(N(I9)*VLOOKUP(C9,Sundry!$A$4:$G$20,3,TRUE),0),0)</f>
        <v/>
      </c>
      <c r="S9" s="392">
        <f>IF(AND(ISNUMBER(C9),ISNUMBER(E9),UPPER(J9)="N",E9&lt;VLOOKUP(C9,Sundry!$A$4:$G$20,7,TRUE)),VLOOKUP(C9,Sundry!$A$4:$G$20,6,TRUE),0)</f>
        <v/>
      </c>
      <c r="T9" s="393">
        <f>M9+O9+P9+Q9+R9+S9</f>
        <v/>
      </c>
    </row>
    <row r="10">
      <c r="A10" s="388" t="inlineStr">
        <is>
          <t>506</t>
        </is>
      </c>
      <c r="B10" s="388" t="inlineStr">
        <is>
          <t>van rijswijckschans, 18D0459</t>
        </is>
      </c>
      <c r="C10" s="389" t="n">
        <v>250</v>
      </c>
      <c r="D10" s="389" t="n">
        <v>6</v>
      </c>
      <c r="E10" s="390" t="n">
        <v>42.1</v>
      </c>
      <c r="F10" s="391" t="n">
        <v>4.35</v>
      </c>
      <c r="G10" s="306" t="n">
        <v>1</v>
      </c>
      <c r="H10" s="306" t="n">
        <v>1</v>
      </c>
      <c r="I10" s="306" t="n">
        <v>0</v>
      </c>
      <c r="J10" s="306" t="inlineStr">
        <is>
          <t>J</t>
        </is>
      </c>
      <c r="K10" s="392">
        <f>IF(ISNUMBER(E10),IF(ISNUMBER(F10),F10,Instellingen!$B$6)+Instellingen!$B$5,"")</f>
        <v/>
      </c>
      <c r="L10" s="392">
        <f>IFERROR(INDEX(Impregnatie!$B$4:$O$25,MATCH(C10,Impregnatie!$A$4:$A$25,0),MATCH(D10,Impregnatie!$B$3:$O$3,0))*(1+Instellingen!$B$4),"")</f>
        <v/>
      </c>
      <c r="M10" s="392">
        <f>IF(AND(ISNUMBER(E10),ISNUMBER(L10)),E10*L10,0)</f>
        <v/>
      </c>
      <c r="N10" s="392">
        <f>IFERROR(INDEX('Droge kous'!$B$4:$T$33,MATCH(C10,'Droge kous'!$A$4:$A$33,0),MATCH(D10,'Droge kous'!$B$3:$T$3,0)),"")</f>
        <v/>
      </c>
      <c r="O10" s="392">
        <f>IF(AND(ISNUMBER(K10),ISNUMBER(N10)),K10*N10,0)</f>
        <v/>
      </c>
      <c r="P10" s="392">
        <f>IF(ISNUMBER(C10),IFERROR(N(G10)*VLOOKUP(C10,Sundry!$A$4:$G$20,4,TRUE),0),0)</f>
        <v/>
      </c>
      <c r="Q10" s="392">
        <f>IF(ISNUMBER(C10),IFERROR(N(H10)*VLOOKUP(C10,Sundry!$A$4:$G$20,5,TRUE),0),0)</f>
        <v/>
      </c>
      <c r="R10" s="392">
        <f>IF(ISNUMBER(C10),IFERROR(N(I10)*VLOOKUP(C10,Sundry!$A$4:$G$20,3,TRUE),0),0)</f>
        <v/>
      </c>
      <c r="S10" s="392">
        <f>IF(AND(ISNUMBER(C10),ISNUMBER(E10),UPPER(J10)="N",E10&lt;VLOOKUP(C10,Sundry!$A$4:$G$20,7,TRUE)),VLOOKUP(C10,Sundry!$A$4:$G$20,6,TRUE),0)</f>
        <v/>
      </c>
      <c r="T10" s="393">
        <f>M10+O10+P10+Q10+R10+S10</f>
        <v/>
      </c>
    </row>
    <row r="11">
      <c r="A11" s="388" t="inlineStr">
        <is>
          <t>507</t>
        </is>
      </c>
      <c r="B11" s="388" t="inlineStr">
        <is>
          <t>van rijswijckschans, 18D0456</t>
        </is>
      </c>
      <c r="C11" s="389" t="n">
        <v>250</v>
      </c>
      <c r="D11" s="389" t="n">
        <v>6</v>
      </c>
      <c r="E11" s="390" t="n">
        <v>35.4</v>
      </c>
      <c r="F11" s="391" t="n">
        <v>4.61</v>
      </c>
      <c r="G11" s="306" t="n">
        <v>1</v>
      </c>
      <c r="H11" s="306" t="n">
        <v>1</v>
      </c>
      <c r="I11" s="306" t="n">
        <v>0</v>
      </c>
      <c r="J11" s="306" t="inlineStr">
        <is>
          <t>J</t>
        </is>
      </c>
      <c r="K11" s="392">
        <f>IF(ISNUMBER(E11),IF(ISNUMBER(F11),F11,Instellingen!$B$6)+Instellingen!$B$5,"")</f>
        <v/>
      </c>
      <c r="L11" s="392">
        <f>IFERROR(INDEX(Impregnatie!$B$4:$O$25,MATCH(C11,Impregnatie!$A$4:$A$25,0),MATCH(D11,Impregnatie!$B$3:$O$3,0))*(1+Instellingen!$B$4),"")</f>
        <v/>
      </c>
      <c r="M11" s="392">
        <f>IF(AND(ISNUMBER(E11),ISNUMBER(L11)),E11*L11,0)</f>
        <v/>
      </c>
      <c r="N11" s="392">
        <f>IFERROR(INDEX('Droge kous'!$B$4:$T$33,MATCH(C11,'Droge kous'!$A$4:$A$33,0),MATCH(D11,'Droge kous'!$B$3:$T$3,0)),"")</f>
        <v/>
      </c>
      <c r="O11" s="392">
        <f>IF(AND(ISNUMBER(K11),ISNUMBER(N11)),K11*N11,0)</f>
        <v/>
      </c>
      <c r="P11" s="392">
        <f>IF(ISNUMBER(C11),IFERROR(N(G11)*VLOOKUP(C11,Sundry!$A$4:$G$20,4,TRUE),0),0)</f>
        <v/>
      </c>
      <c r="Q11" s="392">
        <f>IF(ISNUMBER(C11),IFERROR(N(H11)*VLOOKUP(C11,Sundry!$A$4:$G$20,5,TRUE),0),0)</f>
        <v/>
      </c>
      <c r="R11" s="392">
        <f>IF(ISNUMBER(C11),IFERROR(N(I11)*VLOOKUP(C11,Sundry!$A$4:$G$20,3,TRUE),0),0)</f>
        <v/>
      </c>
      <c r="S11" s="392">
        <f>IF(AND(ISNUMBER(C11),ISNUMBER(E11),UPPER(J11)="N",E11&lt;VLOOKUP(C11,Sundry!$A$4:$G$20,7,TRUE)),VLOOKUP(C11,Sundry!$A$4:$G$20,6,TRUE),0)</f>
        <v/>
      </c>
      <c r="T11" s="393">
        <f>M11+O11+P11+Q11+R11+S11</f>
        <v/>
      </c>
    </row>
    <row r="12">
      <c r="A12" s="388" t="inlineStr">
        <is>
          <t>508</t>
        </is>
      </c>
      <c r="B12" s="388" t="inlineStr">
        <is>
          <t>offerhausschans, 18D0447</t>
        </is>
      </c>
      <c r="C12" s="389" t="n">
        <v>250</v>
      </c>
      <c r="D12" s="389" t="n">
        <v>6</v>
      </c>
      <c r="E12" s="390" t="n">
        <v>41.1</v>
      </c>
      <c r="F12" s="391" t="n">
        <v>4.29</v>
      </c>
      <c r="G12" s="306" t="n">
        <v>1</v>
      </c>
      <c r="H12" s="306" t="n">
        <v>1</v>
      </c>
      <c r="I12" s="306" t="n">
        <v>0</v>
      </c>
      <c r="J12" s="306" t="inlineStr">
        <is>
          <t>J</t>
        </is>
      </c>
      <c r="K12" s="392">
        <f>IF(ISNUMBER(E12),IF(ISNUMBER(F12),F12,Instellingen!$B$6)+Instellingen!$B$5,"")</f>
        <v/>
      </c>
      <c r="L12" s="392">
        <f>IFERROR(INDEX(Impregnatie!$B$4:$O$25,MATCH(C12,Impregnatie!$A$4:$A$25,0),MATCH(D12,Impregnatie!$B$3:$O$3,0))*(1+Instellingen!$B$4),"")</f>
        <v/>
      </c>
      <c r="M12" s="392">
        <f>IF(AND(ISNUMBER(E12),ISNUMBER(L12)),E12*L12,0)</f>
        <v/>
      </c>
      <c r="N12" s="392">
        <f>IFERROR(INDEX('Droge kous'!$B$4:$T$33,MATCH(C12,'Droge kous'!$A$4:$A$33,0),MATCH(D12,'Droge kous'!$B$3:$T$3,0)),"")</f>
        <v/>
      </c>
      <c r="O12" s="392">
        <f>IF(AND(ISNUMBER(K12),ISNUMBER(N12)),K12*N12,0)</f>
        <v/>
      </c>
      <c r="P12" s="392">
        <f>IF(ISNUMBER(C12),IFERROR(N(G12)*VLOOKUP(C12,Sundry!$A$4:$G$20,4,TRUE),0),0)</f>
        <v/>
      </c>
      <c r="Q12" s="392">
        <f>IF(ISNUMBER(C12),IFERROR(N(H12)*VLOOKUP(C12,Sundry!$A$4:$G$20,5,TRUE),0),0)</f>
        <v/>
      </c>
      <c r="R12" s="392">
        <f>IF(ISNUMBER(C12),IFERROR(N(I12)*VLOOKUP(C12,Sundry!$A$4:$G$20,3,TRUE),0),0)</f>
        <v/>
      </c>
      <c r="S12" s="392">
        <f>IF(AND(ISNUMBER(C12),ISNUMBER(E12),UPPER(J12)="N",E12&lt;VLOOKUP(C12,Sundry!$A$4:$G$20,7,TRUE)),VLOOKUP(C12,Sundry!$A$4:$G$20,6,TRUE),0)</f>
        <v/>
      </c>
      <c r="T12" s="393">
        <f>M12+O12+P12+Q12+R12+S12</f>
        <v/>
      </c>
    </row>
    <row r="13">
      <c r="A13" s="388" t="inlineStr">
        <is>
          <t>509</t>
        </is>
      </c>
      <c r="B13" s="388" t="inlineStr">
        <is>
          <t>pelschans, 18D0466</t>
        </is>
      </c>
      <c r="C13" s="389" t="n">
        <v>250</v>
      </c>
      <c r="D13" s="389" t="n">
        <v>6</v>
      </c>
      <c r="E13" s="390" t="n">
        <v>90.40000000000001</v>
      </c>
      <c r="F13" s="391" t="n">
        <v>4.47</v>
      </c>
      <c r="G13" s="306" t="n">
        <v>1</v>
      </c>
      <c r="H13" s="306" t="n">
        <v>1</v>
      </c>
      <c r="I13" s="306" t="n">
        <v>0</v>
      </c>
      <c r="J13" s="306" t="inlineStr">
        <is>
          <t>J</t>
        </is>
      </c>
      <c r="K13" s="392">
        <f>IF(ISNUMBER(E13),IF(ISNUMBER(F13),F13,Instellingen!$B$6)+Instellingen!$B$5,"")</f>
        <v/>
      </c>
      <c r="L13" s="392">
        <f>IFERROR(INDEX(Impregnatie!$B$4:$O$25,MATCH(C13,Impregnatie!$A$4:$A$25,0),MATCH(D13,Impregnatie!$B$3:$O$3,0))*(1+Instellingen!$B$4),"")</f>
        <v/>
      </c>
      <c r="M13" s="392">
        <f>IF(AND(ISNUMBER(E13),ISNUMBER(L13)),E13*L13,0)</f>
        <v/>
      </c>
      <c r="N13" s="392">
        <f>IFERROR(INDEX('Droge kous'!$B$4:$T$33,MATCH(C13,'Droge kous'!$A$4:$A$33,0),MATCH(D13,'Droge kous'!$B$3:$T$3,0)),"")</f>
        <v/>
      </c>
      <c r="O13" s="392">
        <f>IF(AND(ISNUMBER(K13),ISNUMBER(N13)),K13*N13,0)</f>
        <v/>
      </c>
      <c r="P13" s="392">
        <f>IF(ISNUMBER(C13),IFERROR(N(G13)*VLOOKUP(C13,Sundry!$A$4:$G$20,4,TRUE),0),0)</f>
        <v/>
      </c>
      <c r="Q13" s="392">
        <f>IF(ISNUMBER(C13),IFERROR(N(H13)*VLOOKUP(C13,Sundry!$A$4:$G$20,5,TRUE),0),0)</f>
        <v/>
      </c>
      <c r="R13" s="392">
        <f>IF(ISNUMBER(C13),IFERROR(N(I13)*VLOOKUP(C13,Sundry!$A$4:$G$20,3,TRUE),0),0)</f>
        <v/>
      </c>
      <c r="S13" s="392">
        <f>IF(AND(ISNUMBER(C13),ISNUMBER(E13),UPPER(J13)="N",E13&lt;VLOOKUP(C13,Sundry!$A$4:$G$20,7,TRUE)),VLOOKUP(C13,Sundry!$A$4:$G$20,6,TRUE),0)</f>
        <v/>
      </c>
      <c r="T13" s="393">
        <f>M13+O13+P13+Q13+R13+S13</f>
        <v/>
      </c>
    </row>
    <row r="14">
      <c r="A14" s="388" t="inlineStr">
        <is>
          <t>510</t>
        </is>
      </c>
      <c r="B14" s="388" t="inlineStr">
        <is>
          <t>merkesschans, 18D0387</t>
        </is>
      </c>
      <c r="C14" s="389" t="n">
        <v>250</v>
      </c>
      <c r="D14" s="389" t="n">
        <v>6</v>
      </c>
      <c r="E14" s="390" t="n">
        <v>133.9</v>
      </c>
      <c r="F14" s="391" t="n">
        <v>4.8</v>
      </c>
      <c r="G14" s="306" t="n">
        <v>1</v>
      </c>
      <c r="H14" s="306" t="n">
        <v>1</v>
      </c>
      <c r="I14" s="306" t="n">
        <v>0</v>
      </c>
      <c r="J14" s="306" t="inlineStr">
        <is>
          <t>J</t>
        </is>
      </c>
      <c r="K14" s="392">
        <f>IF(ISNUMBER(E14),IF(ISNUMBER(F14),F14,Instellingen!$B$6)+Instellingen!$B$5,"")</f>
        <v/>
      </c>
      <c r="L14" s="392">
        <f>IFERROR(INDEX(Impregnatie!$B$4:$O$25,MATCH(C14,Impregnatie!$A$4:$A$25,0),MATCH(D14,Impregnatie!$B$3:$O$3,0))*(1+Instellingen!$B$4),"")</f>
        <v/>
      </c>
      <c r="M14" s="392">
        <f>IF(AND(ISNUMBER(E14),ISNUMBER(L14)),E14*L14,0)</f>
        <v/>
      </c>
      <c r="N14" s="392">
        <f>IFERROR(INDEX('Droge kous'!$B$4:$T$33,MATCH(C14,'Droge kous'!$A$4:$A$33,0),MATCH(D14,'Droge kous'!$B$3:$T$3,0)),"")</f>
        <v/>
      </c>
      <c r="O14" s="392">
        <f>IF(AND(ISNUMBER(K14),ISNUMBER(N14)),K14*N14,0)</f>
        <v/>
      </c>
      <c r="P14" s="392">
        <f>IF(ISNUMBER(C14),IFERROR(N(G14)*VLOOKUP(C14,Sundry!$A$4:$G$20,4,TRUE),0),0)</f>
        <v/>
      </c>
      <c r="Q14" s="392">
        <f>IF(ISNUMBER(C14),IFERROR(N(H14)*VLOOKUP(C14,Sundry!$A$4:$G$20,5,TRUE),0),0)</f>
        <v/>
      </c>
      <c r="R14" s="392">
        <f>IF(ISNUMBER(C14),IFERROR(N(I14)*VLOOKUP(C14,Sundry!$A$4:$G$20,3,TRUE),0),0)</f>
        <v/>
      </c>
      <c r="S14" s="392">
        <f>IF(AND(ISNUMBER(C14),ISNUMBER(E14),UPPER(J14)="N",E14&lt;VLOOKUP(C14,Sundry!$A$4:$G$20,7,TRUE)),VLOOKUP(C14,Sundry!$A$4:$G$20,6,TRUE),0)</f>
        <v/>
      </c>
      <c r="T14" s="393">
        <f>M14+O14+P14+Q14+R14+S14</f>
        <v/>
      </c>
    </row>
    <row r="15">
      <c r="A15" s="388" t="inlineStr">
        <is>
          <t>511</t>
        </is>
      </c>
      <c r="B15" s="388" t="inlineStr">
        <is>
          <t>klinckaertschans, 18D0401</t>
        </is>
      </c>
      <c r="C15" s="389" t="n">
        <v>250</v>
      </c>
      <c r="D15" s="389" t="n">
        <v>6</v>
      </c>
      <c r="E15" s="390" t="n">
        <v>92.3</v>
      </c>
      <c r="F15" s="391" t="n">
        <v>4.36</v>
      </c>
      <c r="G15" s="306" t="n">
        <v>1</v>
      </c>
      <c r="H15" s="306" t="n">
        <v>1</v>
      </c>
      <c r="I15" s="306" t="n">
        <v>0</v>
      </c>
      <c r="J15" s="306" t="inlineStr">
        <is>
          <t>J</t>
        </is>
      </c>
      <c r="K15" s="392">
        <f>IF(ISNUMBER(E15),IF(ISNUMBER(F15),F15,Instellingen!$B$6)+Instellingen!$B$5,"")</f>
        <v/>
      </c>
      <c r="L15" s="392">
        <f>IFERROR(INDEX(Impregnatie!$B$4:$O$25,MATCH(C15,Impregnatie!$A$4:$A$25,0),MATCH(D15,Impregnatie!$B$3:$O$3,0))*(1+Instellingen!$B$4),"")</f>
        <v/>
      </c>
      <c r="M15" s="392">
        <f>IF(AND(ISNUMBER(E15),ISNUMBER(L15)),E15*L15,0)</f>
        <v/>
      </c>
      <c r="N15" s="392">
        <f>IFERROR(INDEX('Droge kous'!$B$4:$T$33,MATCH(C15,'Droge kous'!$A$4:$A$33,0),MATCH(D15,'Droge kous'!$B$3:$T$3,0)),"")</f>
        <v/>
      </c>
      <c r="O15" s="392">
        <f>IF(AND(ISNUMBER(K15),ISNUMBER(N15)),K15*N15,0)</f>
        <v/>
      </c>
      <c r="P15" s="392">
        <f>IF(ISNUMBER(C15),IFERROR(N(G15)*VLOOKUP(C15,Sundry!$A$4:$G$20,4,TRUE),0),0)</f>
        <v/>
      </c>
      <c r="Q15" s="392">
        <f>IF(ISNUMBER(C15),IFERROR(N(H15)*VLOOKUP(C15,Sundry!$A$4:$G$20,5,TRUE),0),0)</f>
        <v/>
      </c>
      <c r="R15" s="392">
        <f>IF(ISNUMBER(C15),IFERROR(N(I15)*VLOOKUP(C15,Sundry!$A$4:$G$20,3,TRUE),0),0)</f>
        <v/>
      </c>
      <c r="S15" s="392">
        <f>IF(AND(ISNUMBER(C15),ISNUMBER(E15),UPPER(J15)="N",E15&lt;VLOOKUP(C15,Sundry!$A$4:$G$20,7,TRUE)),VLOOKUP(C15,Sundry!$A$4:$G$20,6,TRUE),0)</f>
        <v/>
      </c>
      <c r="T15" s="393">
        <f>M15+O15+P15+Q15+R15+S15</f>
        <v/>
      </c>
    </row>
    <row r="16">
      <c r="A16" s="388" t="inlineStr">
        <is>
          <t>512</t>
        </is>
      </c>
      <c r="B16" s="388" t="inlineStr">
        <is>
          <t>lijnbaan, 18D0138</t>
        </is>
      </c>
      <c r="C16" s="389" t="n">
        <v>250</v>
      </c>
      <c r="D16" s="389" t="n">
        <v>6</v>
      </c>
      <c r="E16" s="390" t="n">
        <v>124.6</v>
      </c>
      <c r="F16" s="391" t="n">
        <v>4.6</v>
      </c>
      <c r="G16" s="306" t="n">
        <v>1</v>
      </c>
      <c r="H16" s="306" t="n">
        <v>1</v>
      </c>
      <c r="I16" s="306" t="n">
        <v>0</v>
      </c>
      <c r="J16" s="306" t="inlineStr">
        <is>
          <t>J</t>
        </is>
      </c>
      <c r="K16" s="392">
        <f>IF(ISNUMBER(E16),IF(ISNUMBER(F16),F16,Instellingen!$B$6)+Instellingen!$B$5,"")</f>
        <v/>
      </c>
      <c r="L16" s="392">
        <f>IFERROR(INDEX(Impregnatie!$B$4:$O$25,MATCH(C16,Impregnatie!$A$4:$A$25,0),MATCH(D16,Impregnatie!$B$3:$O$3,0))*(1+Instellingen!$B$4),"")</f>
        <v/>
      </c>
      <c r="M16" s="392">
        <f>IF(AND(ISNUMBER(E16),ISNUMBER(L16)),E16*L16,0)</f>
        <v/>
      </c>
      <c r="N16" s="392">
        <f>IFERROR(INDEX('Droge kous'!$B$4:$T$33,MATCH(C16,'Droge kous'!$A$4:$A$33,0),MATCH(D16,'Droge kous'!$B$3:$T$3,0)),"")</f>
        <v/>
      </c>
      <c r="O16" s="392">
        <f>IF(AND(ISNUMBER(K16),ISNUMBER(N16)),K16*N16,0)</f>
        <v/>
      </c>
      <c r="P16" s="392">
        <f>IF(ISNUMBER(C16),IFERROR(N(G16)*VLOOKUP(C16,Sundry!$A$4:$G$20,4,TRUE),0),0)</f>
        <v/>
      </c>
      <c r="Q16" s="392">
        <f>IF(ISNUMBER(C16),IFERROR(N(H16)*VLOOKUP(C16,Sundry!$A$4:$G$20,5,TRUE),0),0)</f>
        <v/>
      </c>
      <c r="R16" s="392">
        <f>IF(ISNUMBER(C16),IFERROR(N(I16)*VLOOKUP(C16,Sundry!$A$4:$G$20,3,TRUE),0),0)</f>
        <v/>
      </c>
      <c r="S16" s="392">
        <f>IF(AND(ISNUMBER(C16),ISNUMBER(E16),UPPER(J16)="N",E16&lt;VLOOKUP(C16,Sundry!$A$4:$G$20,7,TRUE)),VLOOKUP(C16,Sundry!$A$4:$G$20,6,TRUE),0)</f>
        <v/>
      </c>
      <c r="T16" s="393">
        <f>M16+O16+P16+Q16+R16+S16</f>
        <v/>
      </c>
    </row>
    <row r="17">
      <c r="A17" s="388" t="inlineStr">
        <is>
          <t>513</t>
        </is>
      </c>
      <c r="B17" s="388" t="inlineStr">
        <is>
          <t>van embdenruimte, 18D0138</t>
        </is>
      </c>
      <c r="C17" s="389" t="n">
        <v>250</v>
      </c>
      <c r="D17" s="389" t="n">
        <v>6</v>
      </c>
      <c r="E17" s="390" t="n">
        <v>67</v>
      </c>
      <c r="F17" s="391" t="n">
        <v>4.6</v>
      </c>
      <c r="G17" s="306" t="n">
        <v>1</v>
      </c>
      <c r="H17" s="306" t="n">
        <v>1</v>
      </c>
      <c r="I17" s="306" t="n">
        <v>0</v>
      </c>
      <c r="J17" s="306" t="inlineStr">
        <is>
          <t>J</t>
        </is>
      </c>
      <c r="K17" s="392">
        <f>IF(ISNUMBER(E17),IF(ISNUMBER(F17),F17,Instellingen!$B$6)+Instellingen!$B$5,"")</f>
        <v/>
      </c>
      <c r="L17" s="392">
        <f>IFERROR(INDEX(Impregnatie!$B$4:$O$25,MATCH(C17,Impregnatie!$A$4:$A$25,0),MATCH(D17,Impregnatie!$B$3:$O$3,0))*(1+Instellingen!$B$4),"")</f>
        <v/>
      </c>
      <c r="M17" s="392">
        <f>IF(AND(ISNUMBER(E17),ISNUMBER(L17)),E17*L17,0)</f>
        <v/>
      </c>
      <c r="N17" s="392">
        <f>IFERROR(INDEX('Droge kous'!$B$4:$T$33,MATCH(C17,'Droge kous'!$A$4:$A$33,0),MATCH(D17,'Droge kous'!$B$3:$T$3,0)),"")</f>
        <v/>
      </c>
      <c r="O17" s="392">
        <f>IF(AND(ISNUMBER(K17),ISNUMBER(N17)),K17*N17,0)</f>
        <v/>
      </c>
      <c r="P17" s="392">
        <f>IF(ISNUMBER(C17),IFERROR(N(G17)*VLOOKUP(C17,Sundry!$A$4:$G$20,4,TRUE),0),0)</f>
        <v/>
      </c>
      <c r="Q17" s="392">
        <f>IF(ISNUMBER(C17),IFERROR(N(H17)*VLOOKUP(C17,Sundry!$A$4:$G$20,5,TRUE),0),0)</f>
        <v/>
      </c>
      <c r="R17" s="392">
        <f>IF(ISNUMBER(C17),IFERROR(N(I17)*VLOOKUP(C17,Sundry!$A$4:$G$20,3,TRUE),0),0)</f>
        <v/>
      </c>
      <c r="S17" s="392">
        <f>IF(AND(ISNUMBER(C17),ISNUMBER(E17),UPPER(J17)="N",E17&lt;VLOOKUP(C17,Sundry!$A$4:$G$20,7,TRUE)),VLOOKUP(C17,Sundry!$A$4:$G$20,6,TRUE),0)</f>
        <v/>
      </c>
      <c r="T17" s="393">
        <f>M17+O17+P17+Q17+R17+S17</f>
        <v/>
      </c>
    </row>
    <row r="18">
      <c r="A18" s="388" t="inlineStr">
        <is>
          <t>514</t>
        </is>
      </c>
      <c r="B18" s="388" t="inlineStr">
        <is>
          <t>van embdenruimte, 18D0130</t>
        </is>
      </c>
      <c r="C18" s="389" t="n">
        <v>250</v>
      </c>
      <c r="D18" s="389" t="n">
        <v>6</v>
      </c>
      <c r="E18" s="390" t="n">
        <v>120</v>
      </c>
      <c r="F18" s="391" t="n">
        <v>4.92</v>
      </c>
      <c r="G18" s="306" t="n">
        <v>1</v>
      </c>
      <c r="H18" s="306" t="n">
        <v>1</v>
      </c>
      <c r="I18" s="306" t="n">
        <v>0</v>
      </c>
      <c r="J18" s="306" t="inlineStr">
        <is>
          <t>J</t>
        </is>
      </c>
      <c r="K18" s="392">
        <f>IF(ISNUMBER(E18),IF(ISNUMBER(F18),F18,Instellingen!$B$6)+Instellingen!$B$5,"")</f>
        <v/>
      </c>
      <c r="L18" s="392">
        <f>IFERROR(INDEX(Impregnatie!$B$4:$O$25,MATCH(C18,Impregnatie!$A$4:$A$25,0),MATCH(D18,Impregnatie!$B$3:$O$3,0))*(1+Instellingen!$B$4),"")</f>
        <v/>
      </c>
      <c r="M18" s="392">
        <f>IF(AND(ISNUMBER(E18),ISNUMBER(L18)),E18*L18,0)</f>
        <v/>
      </c>
      <c r="N18" s="392">
        <f>IFERROR(INDEX('Droge kous'!$B$4:$T$33,MATCH(C18,'Droge kous'!$A$4:$A$33,0),MATCH(D18,'Droge kous'!$B$3:$T$3,0)),"")</f>
        <v/>
      </c>
      <c r="O18" s="392">
        <f>IF(AND(ISNUMBER(K18),ISNUMBER(N18)),K18*N18,0)</f>
        <v/>
      </c>
      <c r="P18" s="392">
        <f>IF(ISNUMBER(C18),IFERROR(N(G18)*VLOOKUP(C18,Sundry!$A$4:$G$20,4,TRUE),0),0)</f>
        <v/>
      </c>
      <c r="Q18" s="392">
        <f>IF(ISNUMBER(C18),IFERROR(N(H18)*VLOOKUP(C18,Sundry!$A$4:$G$20,5,TRUE),0),0)</f>
        <v/>
      </c>
      <c r="R18" s="392">
        <f>IF(ISNUMBER(C18),IFERROR(N(I18)*VLOOKUP(C18,Sundry!$A$4:$G$20,3,TRUE),0),0)</f>
        <v/>
      </c>
      <c r="S18" s="392">
        <f>IF(AND(ISNUMBER(C18),ISNUMBER(E18),UPPER(J18)="N",E18&lt;VLOOKUP(C18,Sundry!$A$4:$G$20,7,TRUE)),VLOOKUP(C18,Sundry!$A$4:$G$20,6,TRUE),0)</f>
        <v/>
      </c>
      <c r="T18" s="393">
        <f>M18+O18+P18+Q18+R18+S18</f>
        <v/>
      </c>
    </row>
    <row r="19">
      <c r="A19" s="388" t="inlineStr">
        <is>
          <t>515</t>
        </is>
      </c>
      <c r="B19" s="388" t="inlineStr">
        <is>
          <t>griffinruimte, 18D0129</t>
        </is>
      </c>
      <c r="C19" s="389" t="n">
        <v>250</v>
      </c>
      <c r="D19" s="389" t="n">
        <v>6</v>
      </c>
      <c r="E19" s="390" t="n">
        <v>66.09999999999999</v>
      </c>
      <c r="F19" s="391" t="n">
        <v>4.67</v>
      </c>
      <c r="G19" s="306" t="n">
        <v>1</v>
      </c>
      <c r="H19" s="306" t="n">
        <v>1</v>
      </c>
      <c r="I19" s="306" t="n">
        <v>0</v>
      </c>
      <c r="J19" s="306" t="inlineStr">
        <is>
          <t>J</t>
        </is>
      </c>
      <c r="K19" s="392">
        <f>IF(ISNUMBER(E19),IF(ISNUMBER(F19),F19,Instellingen!$B$6)+Instellingen!$B$5,"")</f>
        <v/>
      </c>
      <c r="L19" s="392">
        <f>IFERROR(INDEX(Impregnatie!$B$4:$O$25,MATCH(C19,Impregnatie!$A$4:$A$25,0),MATCH(D19,Impregnatie!$B$3:$O$3,0))*(1+Instellingen!$B$4),"")</f>
        <v/>
      </c>
      <c r="M19" s="392">
        <f>IF(AND(ISNUMBER(E19),ISNUMBER(L19)),E19*L19,0)</f>
        <v/>
      </c>
      <c r="N19" s="392">
        <f>IFERROR(INDEX('Droge kous'!$B$4:$T$33,MATCH(C19,'Droge kous'!$A$4:$A$33,0),MATCH(D19,'Droge kous'!$B$3:$T$3,0)),"")</f>
        <v/>
      </c>
      <c r="O19" s="392">
        <f>IF(AND(ISNUMBER(K19),ISNUMBER(N19)),K19*N19,0)</f>
        <v/>
      </c>
      <c r="P19" s="392">
        <f>IF(ISNUMBER(C19),IFERROR(N(G19)*VLOOKUP(C19,Sundry!$A$4:$G$20,4,TRUE),0),0)</f>
        <v/>
      </c>
      <c r="Q19" s="392">
        <f>IF(ISNUMBER(C19),IFERROR(N(H19)*VLOOKUP(C19,Sundry!$A$4:$G$20,5,TRUE),0),0)</f>
        <v/>
      </c>
      <c r="R19" s="392">
        <f>IF(ISNUMBER(C19),IFERROR(N(I19)*VLOOKUP(C19,Sundry!$A$4:$G$20,3,TRUE),0),0)</f>
        <v/>
      </c>
      <c r="S19" s="392">
        <f>IF(AND(ISNUMBER(C19),ISNUMBER(E19),UPPER(J19)="N",E19&lt;VLOOKUP(C19,Sundry!$A$4:$G$20,7,TRUE)),VLOOKUP(C19,Sundry!$A$4:$G$20,6,TRUE),0)</f>
        <v/>
      </c>
      <c r="T19" s="393">
        <f>M19+O19+P19+Q19+R19+S19</f>
        <v/>
      </c>
    </row>
    <row r="20">
      <c r="A20" s="388" t="inlineStr">
        <is>
          <t>516</t>
        </is>
      </c>
      <c r="B20" s="388" t="inlineStr">
        <is>
          <t>de boomgaard, 18D0549</t>
        </is>
      </c>
      <c r="C20" s="389" t="n">
        <v>250</v>
      </c>
      <c r="D20" s="389" t="n">
        <v>6</v>
      </c>
      <c r="E20" s="390" t="n">
        <v>14.2</v>
      </c>
      <c r="F20" s="391" t="n">
        <v>6.15</v>
      </c>
      <c r="G20" s="306" t="n">
        <v>1</v>
      </c>
      <c r="H20" s="306" t="n">
        <v>1</v>
      </c>
      <c r="I20" s="306" t="n">
        <v>0</v>
      </c>
      <c r="J20" s="306" t="inlineStr">
        <is>
          <t>J</t>
        </is>
      </c>
      <c r="K20" s="392">
        <f>IF(ISNUMBER(E20),IF(ISNUMBER(F20),F20,Instellingen!$B$6)+Instellingen!$B$5,"")</f>
        <v/>
      </c>
      <c r="L20" s="392">
        <f>IFERROR(INDEX(Impregnatie!$B$4:$O$25,MATCH(C20,Impregnatie!$A$4:$A$25,0),MATCH(D20,Impregnatie!$B$3:$O$3,0))*(1+Instellingen!$B$4),"")</f>
        <v/>
      </c>
      <c r="M20" s="392">
        <f>IF(AND(ISNUMBER(E20),ISNUMBER(L20)),E20*L20,0)</f>
        <v/>
      </c>
      <c r="N20" s="392">
        <f>IFERROR(INDEX('Droge kous'!$B$4:$T$33,MATCH(C20,'Droge kous'!$A$4:$A$33,0),MATCH(D20,'Droge kous'!$B$3:$T$3,0)),"")</f>
        <v/>
      </c>
      <c r="O20" s="392">
        <f>IF(AND(ISNUMBER(K20),ISNUMBER(N20)),K20*N20,0)</f>
        <v/>
      </c>
      <c r="P20" s="392">
        <f>IF(ISNUMBER(C20),IFERROR(N(G20)*VLOOKUP(C20,Sundry!$A$4:$G$20,4,TRUE),0),0)</f>
        <v/>
      </c>
      <c r="Q20" s="392">
        <f>IF(ISNUMBER(C20),IFERROR(N(H20)*VLOOKUP(C20,Sundry!$A$4:$G$20,5,TRUE),0),0)</f>
        <v/>
      </c>
      <c r="R20" s="392">
        <f>IF(ISNUMBER(C20),IFERROR(N(I20)*VLOOKUP(C20,Sundry!$A$4:$G$20,3,TRUE),0),0)</f>
        <v/>
      </c>
      <c r="S20" s="392">
        <f>IF(AND(ISNUMBER(C20),ISNUMBER(E20),UPPER(J20)="N",E20&lt;VLOOKUP(C20,Sundry!$A$4:$G$20,7,TRUE)),VLOOKUP(C20,Sundry!$A$4:$G$20,6,TRUE),0)</f>
        <v/>
      </c>
      <c r="T20" s="393">
        <f>M20+O20+P20+Q20+R20+S20</f>
        <v/>
      </c>
    </row>
    <row r="21">
      <c r="A21" s="388" t="inlineStr">
        <is>
          <t>517</t>
        </is>
      </c>
      <c r="B21" s="388" t="inlineStr">
        <is>
          <t>schansbaan, 18D0549</t>
        </is>
      </c>
      <c r="C21" s="389" t="n">
        <v>250</v>
      </c>
      <c r="D21" s="389" t="n">
        <v>6</v>
      </c>
      <c r="E21" s="390" t="n">
        <v>49.2</v>
      </c>
      <c r="F21" s="391" t="n">
        <v>6.15</v>
      </c>
      <c r="G21" s="306" t="n">
        <v>1</v>
      </c>
      <c r="H21" s="306" t="n">
        <v>1</v>
      </c>
      <c r="I21" s="306" t="n">
        <v>0</v>
      </c>
      <c r="J21" s="306" t="inlineStr">
        <is>
          <t>J</t>
        </is>
      </c>
      <c r="K21" s="392">
        <f>IF(ISNUMBER(E21),IF(ISNUMBER(F21),F21,Instellingen!$B$6)+Instellingen!$B$5,"")</f>
        <v/>
      </c>
      <c r="L21" s="392">
        <f>IFERROR(INDEX(Impregnatie!$B$4:$O$25,MATCH(C21,Impregnatie!$A$4:$A$25,0),MATCH(D21,Impregnatie!$B$3:$O$3,0))*(1+Instellingen!$B$4),"")</f>
        <v/>
      </c>
      <c r="M21" s="392">
        <f>IF(AND(ISNUMBER(E21),ISNUMBER(L21)),E21*L21,0)</f>
        <v/>
      </c>
      <c r="N21" s="392">
        <f>IFERROR(INDEX('Droge kous'!$B$4:$T$33,MATCH(C21,'Droge kous'!$A$4:$A$33,0),MATCH(D21,'Droge kous'!$B$3:$T$3,0)),"")</f>
        <v/>
      </c>
      <c r="O21" s="392">
        <f>IF(AND(ISNUMBER(K21),ISNUMBER(N21)),K21*N21,0)</f>
        <v/>
      </c>
      <c r="P21" s="392">
        <f>IF(ISNUMBER(C21),IFERROR(N(G21)*VLOOKUP(C21,Sundry!$A$4:$G$20,4,TRUE),0),0)</f>
        <v/>
      </c>
      <c r="Q21" s="392">
        <f>IF(ISNUMBER(C21),IFERROR(N(H21)*VLOOKUP(C21,Sundry!$A$4:$G$20,5,TRUE),0),0)</f>
        <v/>
      </c>
      <c r="R21" s="392">
        <f>IF(ISNUMBER(C21),IFERROR(N(I21)*VLOOKUP(C21,Sundry!$A$4:$G$20,3,TRUE),0),0)</f>
        <v/>
      </c>
      <c r="S21" s="392">
        <f>IF(AND(ISNUMBER(C21),ISNUMBER(E21),UPPER(J21)="N",E21&lt;VLOOKUP(C21,Sundry!$A$4:$G$20,7,TRUE)),VLOOKUP(C21,Sundry!$A$4:$G$20,6,TRUE),0)</f>
        <v/>
      </c>
      <c r="T21" s="393">
        <f>M21+O21+P21+Q21+R21+S21</f>
        <v/>
      </c>
    </row>
    <row r="22">
      <c r="A22" s="388" t="inlineStr">
        <is>
          <t>518</t>
        </is>
      </c>
      <c r="B22" s="388" t="inlineStr">
        <is>
          <t>goudreinethof, 18D0493</t>
        </is>
      </c>
      <c r="C22" s="389" t="n">
        <v>300</v>
      </c>
      <c r="D22" s="389" t="n">
        <v>7.5</v>
      </c>
      <c r="E22" s="390" t="n">
        <v>54.3</v>
      </c>
      <c r="F22" s="391" t="n">
        <v>6.31</v>
      </c>
      <c r="G22" s="306" t="n">
        <v>1</v>
      </c>
      <c r="H22" s="306" t="n">
        <v>1</v>
      </c>
      <c r="I22" s="306" t="n">
        <v>0</v>
      </c>
      <c r="J22" s="306" t="inlineStr">
        <is>
          <t>J</t>
        </is>
      </c>
      <c r="K22" s="392">
        <f>IF(ISNUMBER(E22),IF(ISNUMBER(F22),F22,Instellingen!$B$6)+Instellingen!$B$5,"")</f>
        <v/>
      </c>
      <c r="L22" s="392">
        <f>IFERROR(INDEX(Impregnatie!$B$4:$O$25,MATCH(C22,Impregnatie!$A$4:$A$25,0),MATCH(D22,Impregnatie!$B$3:$O$3,0))*(1+Instellingen!$B$4),"")</f>
        <v/>
      </c>
      <c r="M22" s="392">
        <f>IF(AND(ISNUMBER(E22),ISNUMBER(L22)),E22*L22,0)</f>
        <v/>
      </c>
      <c r="N22" s="392">
        <f>IFERROR(INDEX('Droge kous'!$B$4:$T$33,MATCH(C22,'Droge kous'!$A$4:$A$33,0),MATCH(D22,'Droge kous'!$B$3:$T$3,0)),"")</f>
        <v/>
      </c>
      <c r="O22" s="392">
        <f>IF(AND(ISNUMBER(K22),ISNUMBER(N22)),K22*N22,0)</f>
        <v/>
      </c>
      <c r="P22" s="392">
        <f>IF(ISNUMBER(C22),IFERROR(N(G22)*VLOOKUP(C22,Sundry!$A$4:$G$20,4,TRUE),0),0)</f>
        <v/>
      </c>
      <c r="Q22" s="392">
        <f>IF(ISNUMBER(C22),IFERROR(N(H22)*VLOOKUP(C22,Sundry!$A$4:$G$20,5,TRUE),0),0)</f>
        <v/>
      </c>
      <c r="R22" s="392">
        <f>IF(ISNUMBER(C22),IFERROR(N(I22)*VLOOKUP(C22,Sundry!$A$4:$G$20,3,TRUE),0),0)</f>
        <v/>
      </c>
      <c r="S22" s="392">
        <f>IF(AND(ISNUMBER(C22),ISNUMBER(E22),UPPER(J22)="N",E22&lt;VLOOKUP(C22,Sundry!$A$4:$G$20,7,TRUE)),VLOOKUP(C22,Sundry!$A$4:$G$20,6,TRUE),0)</f>
        <v/>
      </c>
      <c r="T22" s="393">
        <f>M22+O22+P22+Q22+R22+S22</f>
        <v/>
      </c>
    </row>
    <row r="23">
      <c r="A23" s="388" t="inlineStr">
        <is>
          <t>519</t>
        </is>
      </c>
      <c r="B23" s="388" t="inlineStr">
        <is>
          <t>calandschans, 18D0351</t>
        </is>
      </c>
      <c r="C23" s="389" t="n">
        <v>250</v>
      </c>
      <c r="D23" s="389" t="n">
        <v>6</v>
      </c>
      <c r="E23" s="390" t="n">
        <v>123.6</v>
      </c>
      <c r="F23" s="391" t="n">
        <v>5.19</v>
      </c>
      <c r="G23" s="306" t="n">
        <v>1</v>
      </c>
      <c r="H23" s="306" t="n">
        <v>1</v>
      </c>
      <c r="I23" s="306" t="n">
        <v>0</v>
      </c>
      <c r="J23" s="306" t="inlineStr">
        <is>
          <t>J</t>
        </is>
      </c>
      <c r="K23" s="392">
        <f>IF(ISNUMBER(E23),IF(ISNUMBER(F23),F23,Instellingen!$B$6)+Instellingen!$B$5,"")</f>
        <v/>
      </c>
      <c r="L23" s="392">
        <f>IFERROR(INDEX(Impregnatie!$B$4:$O$25,MATCH(C23,Impregnatie!$A$4:$A$25,0),MATCH(D23,Impregnatie!$B$3:$O$3,0))*(1+Instellingen!$B$4),"")</f>
        <v/>
      </c>
      <c r="M23" s="392">
        <f>IF(AND(ISNUMBER(E23),ISNUMBER(L23)),E23*L23,0)</f>
        <v/>
      </c>
      <c r="N23" s="392">
        <f>IFERROR(INDEX('Droge kous'!$B$4:$T$33,MATCH(C23,'Droge kous'!$A$4:$A$33,0),MATCH(D23,'Droge kous'!$B$3:$T$3,0)),"")</f>
        <v/>
      </c>
      <c r="O23" s="392">
        <f>IF(AND(ISNUMBER(K23),ISNUMBER(N23)),K23*N23,0)</f>
        <v/>
      </c>
      <c r="P23" s="392">
        <f>IF(ISNUMBER(C23),IFERROR(N(G23)*VLOOKUP(C23,Sundry!$A$4:$G$20,4,TRUE),0),0)</f>
        <v/>
      </c>
      <c r="Q23" s="392">
        <f>IF(ISNUMBER(C23),IFERROR(N(H23)*VLOOKUP(C23,Sundry!$A$4:$G$20,5,TRUE),0),0)</f>
        <v/>
      </c>
      <c r="R23" s="392">
        <f>IF(ISNUMBER(C23),IFERROR(N(I23)*VLOOKUP(C23,Sundry!$A$4:$G$20,3,TRUE),0),0)</f>
        <v/>
      </c>
      <c r="S23" s="392">
        <f>IF(AND(ISNUMBER(C23),ISNUMBER(E23),UPPER(J23)="N",E23&lt;VLOOKUP(C23,Sundry!$A$4:$G$20,7,TRUE)),VLOOKUP(C23,Sundry!$A$4:$G$20,6,TRUE),0)</f>
        <v/>
      </c>
      <c r="T23" s="393">
        <f>M23+O23+P23+Q23+R23+S23</f>
        <v/>
      </c>
    </row>
    <row r="24">
      <c r="A24" s="388" t="inlineStr">
        <is>
          <t>520</t>
        </is>
      </c>
      <c r="B24" s="388" t="inlineStr">
        <is>
          <t>corbuloschans, 18D0353</t>
        </is>
      </c>
      <c r="C24" s="389" t="n">
        <v>250</v>
      </c>
      <c r="D24" s="389" t="n">
        <v>6</v>
      </c>
      <c r="E24" s="390" t="n">
        <v>87.59999999999999</v>
      </c>
      <c r="F24" s="391" t="n">
        <v>5.2</v>
      </c>
      <c r="G24" s="306" t="n">
        <v>1</v>
      </c>
      <c r="H24" s="306" t="n">
        <v>1</v>
      </c>
      <c r="I24" s="306" t="n">
        <v>0</v>
      </c>
      <c r="J24" s="306" t="inlineStr">
        <is>
          <t>J</t>
        </is>
      </c>
      <c r="K24" s="392">
        <f>IF(ISNUMBER(E24),IF(ISNUMBER(F24),F24,Instellingen!$B$6)+Instellingen!$B$5,"")</f>
        <v/>
      </c>
      <c r="L24" s="392">
        <f>IFERROR(INDEX(Impregnatie!$B$4:$O$25,MATCH(C24,Impregnatie!$A$4:$A$25,0),MATCH(D24,Impregnatie!$B$3:$O$3,0))*(1+Instellingen!$B$4),"")</f>
        <v/>
      </c>
      <c r="M24" s="392">
        <f>IF(AND(ISNUMBER(E24),ISNUMBER(L24)),E24*L24,0)</f>
        <v/>
      </c>
      <c r="N24" s="392">
        <f>IFERROR(INDEX('Droge kous'!$B$4:$T$33,MATCH(C24,'Droge kous'!$A$4:$A$33,0),MATCH(D24,'Droge kous'!$B$3:$T$3,0)),"")</f>
        <v/>
      </c>
      <c r="O24" s="392">
        <f>IF(AND(ISNUMBER(K24),ISNUMBER(N24)),K24*N24,0)</f>
        <v/>
      </c>
      <c r="P24" s="392">
        <f>IF(ISNUMBER(C24),IFERROR(N(G24)*VLOOKUP(C24,Sundry!$A$4:$G$20,4,TRUE),0),0)</f>
        <v/>
      </c>
      <c r="Q24" s="392">
        <f>IF(ISNUMBER(C24),IFERROR(N(H24)*VLOOKUP(C24,Sundry!$A$4:$G$20,5,TRUE),0),0)</f>
        <v/>
      </c>
      <c r="R24" s="392">
        <f>IF(ISNUMBER(C24),IFERROR(N(I24)*VLOOKUP(C24,Sundry!$A$4:$G$20,3,TRUE),0),0)</f>
        <v/>
      </c>
      <c r="S24" s="392">
        <f>IF(AND(ISNUMBER(C24),ISNUMBER(E24),UPPER(J24)="N",E24&lt;VLOOKUP(C24,Sundry!$A$4:$G$20,7,TRUE)),VLOOKUP(C24,Sundry!$A$4:$G$20,6,TRUE),0)</f>
        <v/>
      </c>
      <c r="T24" s="393">
        <f>M24+O24+P24+Q24+R24+S24</f>
        <v/>
      </c>
    </row>
    <row r="25">
      <c r="A25" s="388" t="inlineStr">
        <is>
          <t>521</t>
        </is>
      </c>
      <c r="B25" s="388" t="inlineStr">
        <is>
          <t>van den corputschans, 18D0354</t>
        </is>
      </c>
      <c r="C25" s="389" t="n">
        <v>250</v>
      </c>
      <c r="D25" s="389" t="n">
        <v>6</v>
      </c>
      <c r="E25" s="390" t="n">
        <v>121.4</v>
      </c>
      <c r="F25" s="391" t="n">
        <v>5.21</v>
      </c>
      <c r="G25" s="306" t="n">
        <v>1</v>
      </c>
      <c r="H25" s="306" t="n">
        <v>1</v>
      </c>
      <c r="I25" s="306" t="n">
        <v>0</v>
      </c>
      <c r="J25" s="306" t="inlineStr">
        <is>
          <t>J</t>
        </is>
      </c>
      <c r="K25" s="392">
        <f>IF(ISNUMBER(E25),IF(ISNUMBER(F25),F25,Instellingen!$B$6)+Instellingen!$B$5,"")</f>
        <v/>
      </c>
      <c r="L25" s="392">
        <f>IFERROR(INDEX(Impregnatie!$B$4:$O$25,MATCH(C25,Impregnatie!$A$4:$A$25,0),MATCH(D25,Impregnatie!$B$3:$O$3,0))*(1+Instellingen!$B$4),"")</f>
        <v/>
      </c>
      <c r="M25" s="392">
        <f>IF(AND(ISNUMBER(E25),ISNUMBER(L25)),E25*L25,0)</f>
        <v/>
      </c>
      <c r="N25" s="392">
        <f>IFERROR(INDEX('Droge kous'!$B$4:$T$33,MATCH(C25,'Droge kous'!$A$4:$A$33,0),MATCH(D25,'Droge kous'!$B$3:$T$3,0)),"")</f>
        <v/>
      </c>
      <c r="O25" s="392">
        <f>IF(AND(ISNUMBER(K25),ISNUMBER(N25)),K25*N25,0)</f>
        <v/>
      </c>
      <c r="P25" s="392">
        <f>IF(ISNUMBER(C25),IFERROR(N(G25)*VLOOKUP(C25,Sundry!$A$4:$G$20,4,TRUE),0),0)</f>
        <v/>
      </c>
      <c r="Q25" s="392">
        <f>IF(ISNUMBER(C25),IFERROR(N(H25)*VLOOKUP(C25,Sundry!$A$4:$G$20,5,TRUE),0),0)</f>
        <v/>
      </c>
      <c r="R25" s="392">
        <f>IF(ISNUMBER(C25),IFERROR(N(I25)*VLOOKUP(C25,Sundry!$A$4:$G$20,3,TRUE),0),0)</f>
        <v/>
      </c>
      <c r="S25" s="392">
        <f>IF(AND(ISNUMBER(C25),ISNUMBER(E25),UPPER(J25)="N",E25&lt;VLOOKUP(C25,Sundry!$A$4:$G$20,7,TRUE)),VLOOKUP(C25,Sundry!$A$4:$G$20,6,TRUE),0)</f>
        <v/>
      </c>
      <c r="T25" s="393">
        <f>M25+O25+P25+Q25+R25+S25</f>
        <v/>
      </c>
    </row>
    <row r="26">
      <c r="A26" s="388" t="inlineStr">
        <is>
          <t>522</t>
        </is>
      </c>
      <c r="B26" s="388" t="inlineStr">
        <is>
          <t>corbuloschans, 18D0348</t>
        </is>
      </c>
      <c r="C26" s="389" t="n">
        <v>250</v>
      </c>
      <c r="D26" s="389" t="n">
        <v>6</v>
      </c>
      <c r="E26" s="390" t="n">
        <v>93.8</v>
      </c>
      <c r="F26" s="391" t="n">
        <v>4.67</v>
      </c>
      <c r="G26" s="306" t="n">
        <v>1</v>
      </c>
      <c r="H26" s="306" t="n">
        <v>1</v>
      </c>
      <c r="I26" s="306" t="n">
        <v>0</v>
      </c>
      <c r="J26" s="306" t="inlineStr">
        <is>
          <t>J</t>
        </is>
      </c>
      <c r="K26" s="392">
        <f>IF(ISNUMBER(E26),IF(ISNUMBER(F26),F26,Instellingen!$B$6)+Instellingen!$B$5,"")</f>
        <v/>
      </c>
      <c r="L26" s="392">
        <f>IFERROR(INDEX(Impregnatie!$B$4:$O$25,MATCH(C26,Impregnatie!$A$4:$A$25,0),MATCH(D26,Impregnatie!$B$3:$O$3,0))*(1+Instellingen!$B$4),"")</f>
        <v/>
      </c>
      <c r="M26" s="392">
        <f>IF(AND(ISNUMBER(E26),ISNUMBER(L26)),E26*L26,0)</f>
        <v/>
      </c>
      <c r="N26" s="392">
        <f>IFERROR(INDEX('Droge kous'!$B$4:$T$33,MATCH(C26,'Droge kous'!$A$4:$A$33,0),MATCH(D26,'Droge kous'!$B$3:$T$3,0)),"")</f>
        <v/>
      </c>
      <c r="O26" s="392">
        <f>IF(AND(ISNUMBER(K26),ISNUMBER(N26)),K26*N26,0)</f>
        <v/>
      </c>
      <c r="P26" s="392">
        <f>IF(ISNUMBER(C26),IFERROR(N(G26)*VLOOKUP(C26,Sundry!$A$4:$G$20,4,TRUE),0),0)</f>
        <v/>
      </c>
      <c r="Q26" s="392">
        <f>IF(ISNUMBER(C26),IFERROR(N(H26)*VLOOKUP(C26,Sundry!$A$4:$G$20,5,TRUE),0),0)</f>
        <v/>
      </c>
      <c r="R26" s="392">
        <f>IF(ISNUMBER(C26),IFERROR(N(I26)*VLOOKUP(C26,Sundry!$A$4:$G$20,3,TRUE),0),0)</f>
        <v/>
      </c>
      <c r="S26" s="392">
        <f>IF(AND(ISNUMBER(C26),ISNUMBER(E26),UPPER(J26)="N",E26&lt;VLOOKUP(C26,Sundry!$A$4:$G$20,7,TRUE)),VLOOKUP(C26,Sundry!$A$4:$G$20,6,TRUE),0)</f>
        <v/>
      </c>
      <c r="T26" s="393">
        <f>M26+O26+P26+Q26+R26+S26</f>
        <v/>
      </c>
    </row>
    <row r="27">
      <c r="A27" s="388" t="inlineStr">
        <is>
          <t>523</t>
        </is>
      </c>
      <c r="B27" s="388" t="inlineStr">
        <is>
          <t>semsschans, 18D0554</t>
        </is>
      </c>
      <c r="C27" s="389" t="n">
        <v>250</v>
      </c>
      <c r="D27" s="389" t="n">
        <v>6</v>
      </c>
      <c r="E27" s="390" t="n">
        <v>60.9</v>
      </c>
      <c r="F27" s="391" t="n">
        <v>4.3</v>
      </c>
      <c r="G27" s="306" t="n">
        <v>1</v>
      </c>
      <c r="H27" s="306" t="n">
        <v>1</v>
      </c>
      <c r="I27" s="306" t="n">
        <v>0</v>
      </c>
      <c r="J27" s="306" t="inlineStr">
        <is>
          <t>J</t>
        </is>
      </c>
      <c r="K27" s="392">
        <f>IF(ISNUMBER(E27),IF(ISNUMBER(F27),F27,Instellingen!$B$6)+Instellingen!$B$5,"")</f>
        <v/>
      </c>
      <c r="L27" s="392">
        <f>IFERROR(INDEX(Impregnatie!$B$4:$O$25,MATCH(C27,Impregnatie!$A$4:$A$25,0),MATCH(D27,Impregnatie!$B$3:$O$3,0))*(1+Instellingen!$B$4),"")</f>
        <v/>
      </c>
      <c r="M27" s="392">
        <f>IF(AND(ISNUMBER(E27),ISNUMBER(L27)),E27*L27,0)</f>
        <v/>
      </c>
      <c r="N27" s="392">
        <f>IFERROR(INDEX('Droge kous'!$B$4:$T$33,MATCH(C27,'Droge kous'!$A$4:$A$33,0),MATCH(D27,'Droge kous'!$B$3:$T$3,0)),"")</f>
        <v/>
      </c>
      <c r="O27" s="392">
        <f>IF(AND(ISNUMBER(K27),ISNUMBER(N27)),K27*N27,0)</f>
        <v/>
      </c>
      <c r="P27" s="392">
        <f>IF(ISNUMBER(C27),IFERROR(N(G27)*VLOOKUP(C27,Sundry!$A$4:$G$20,4,TRUE),0),0)</f>
        <v/>
      </c>
      <c r="Q27" s="392">
        <f>IF(ISNUMBER(C27),IFERROR(N(H27)*VLOOKUP(C27,Sundry!$A$4:$G$20,5,TRUE),0),0)</f>
        <v/>
      </c>
      <c r="R27" s="392">
        <f>IF(ISNUMBER(C27),IFERROR(N(I27)*VLOOKUP(C27,Sundry!$A$4:$G$20,3,TRUE),0),0)</f>
        <v/>
      </c>
      <c r="S27" s="392">
        <f>IF(AND(ISNUMBER(C27),ISNUMBER(E27),UPPER(J27)="N",E27&lt;VLOOKUP(C27,Sundry!$A$4:$G$20,7,TRUE)),VLOOKUP(C27,Sundry!$A$4:$G$20,6,TRUE),0)</f>
        <v/>
      </c>
      <c r="T27" s="393">
        <f>M27+O27+P27+Q27+R27+S27</f>
        <v/>
      </c>
    </row>
    <row r="28">
      <c r="A28" s="388" t="inlineStr">
        <is>
          <t>524</t>
        </is>
      </c>
      <c r="B28" s="388" t="inlineStr">
        <is>
          <t>van rijswijckschans, 18D0457</t>
        </is>
      </c>
      <c r="C28" s="389" t="n">
        <v>250</v>
      </c>
      <c r="D28" s="389" t="n">
        <v>6</v>
      </c>
      <c r="E28" s="390" t="n">
        <v>49.2</v>
      </c>
      <c r="F28" s="391" t="n">
        <v>4.5</v>
      </c>
      <c r="G28" s="306" t="n">
        <v>1</v>
      </c>
      <c r="H28" s="306" t="n">
        <v>1</v>
      </c>
      <c r="I28" s="306" t="n">
        <v>0</v>
      </c>
      <c r="J28" s="306" t="inlineStr">
        <is>
          <t>J</t>
        </is>
      </c>
      <c r="K28" s="392">
        <f>IF(ISNUMBER(E28),IF(ISNUMBER(F28),F28,Instellingen!$B$6)+Instellingen!$B$5,"")</f>
        <v/>
      </c>
      <c r="L28" s="392">
        <f>IFERROR(INDEX(Impregnatie!$B$4:$O$25,MATCH(C28,Impregnatie!$A$4:$A$25,0),MATCH(D28,Impregnatie!$B$3:$O$3,0))*(1+Instellingen!$B$4),"")</f>
        <v/>
      </c>
      <c r="M28" s="392">
        <f>IF(AND(ISNUMBER(E28),ISNUMBER(L28)),E28*L28,0)</f>
        <v/>
      </c>
      <c r="N28" s="392">
        <f>IFERROR(INDEX('Droge kous'!$B$4:$T$33,MATCH(C28,'Droge kous'!$A$4:$A$33,0),MATCH(D28,'Droge kous'!$B$3:$T$3,0)),"")</f>
        <v/>
      </c>
      <c r="O28" s="392">
        <f>IF(AND(ISNUMBER(K28),ISNUMBER(N28)),K28*N28,0)</f>
        <v/>
      </c>
      <c r="P28" s="392">
        <f>IF(ISNUMBER(C28),IFERROR(N(G28)*VLOOKUP(C28,Sundry!$A$4:$G$20,4,TRUE),0),0)</f>
        <v/>
      </c>
      <c r="Q28" s="392">
        <f>IF(ISNUMBER(C28),IFERROR(N(H28)*VLOOKUP(C28,Sundry!$A$4:$G$20,5,TRUE),0),0)</f>
        <v/>
      </c>
      <c r="R28" s="392">
        <f>IF(ISNUMBER(C28),IFERROR(N(I28)*VLOOKUP(C28,Sundry!$A$4:$G$20,3,TRUE),0),0)</f>
        <v/>
      </c>
      <c r="S28" s="392">
        <f>IF(AND(ISNUMBER(C28),ISNUMBER(E28),UPPER(J28)="N",E28&lt;VLOOKUP(C28,Sundry!$A$4:$G$20,7,TRUE)),VLOOKUP(C28,Sundry!$A$4:$G$20,6,TRUE),0)</f>
        <v/>
      </c>
      <c r="T28" s="393">
        <f>M28+O28+P28+Q28+R28+S28</f>
        <v/>
      </c>
    </row>
    <row r="29">
      <c r="A29" s="388" t="inlineStr">
        <is>
          <t>525</t>
        </is>
      </c>
      <c r="B29" s="388" t="inlineStr">
        <is>
          <t>van rijswijckschans, 18D0457</t>
        </is>
      </c>
      <c r="C29" s="389" t="n">
        <v>250</v>
      </c>
      <c r="D29" s="389" t="n">
        <v>6</v>
      </c>
      <c r="E29" s="390" t="n">
        <v>106.1</v>
      </c>
      <c r="F29" s="391" t="n">
        <v>4.5</v>
      </c>
      <c r="G29" s="306" t="n">
        <v>1</v>
      </c>
      <c r="H29" s="306" t="n">
        <v>1</v>
      </c>
      <c r="I29" s="306" t="n">
        <v>0</v>
      </c>
      <c r="J29" s="306" t="inlineStr">
        <is>
          <t>J</t>
        </is>
      </c>
      <c r="K29" s="392">
        <f>IF(ISNUMBER(E29),IF(ISNUMBER(F29),F29,Instellingen!$B$6)+Instellingen!$B$5,"")</f>
        <v/>
      </c>
      <c r="L29" s="392">
        <f>IFERROR(INDEX(Impregnatie!$B$4:$O$25,MATCH(C29,Impregnatie!$A$4:$A$25,0),MATCH(D29,Impregnatie!$B$3:$O$3,0))*(1+Instellingen!$B$4),"")</f>
        <v/>
      </c>
      <c r="M29" s="392">
        <f>IF(AND(ISNUMBER(E29),ISNUMBER(L29)),E29*L29,0)</f>
        <v/>
      </c>
      <c r="N29" s="392">
        <f>IFERROR(INDEX('Droge kous'!$B$4:$T$33,MATCH(C29,'Droge kous'!$A$4:$A$33,0),MATCH(D29,'Droge kous'!$B$3:$T$3,0)),"")</f>
        <v/>
      </c>
      <c r="O29" s="392">
        <f>IF(AND(ISNUMBER(K29),ISNUMBER(N29)),K29*N29,0)</f>
        <v/>
      </c>
      <c r="P29" s="392">
        <f>IF(ISNUMBER(C29),IFERROR(N(G29)*VLOOKUP(C29,Sundry!$A$4:$G$20,4,TRUE),0),0)</f>
        <v/>
      </c>
      <c r="Q29" s="392">
        <f>IF(ISNUMBER(C29),IFERROR(N(H29)*VLOOKUP(C29,Sundry!$A$4:$G$20,5,TRUE),0),0)</f>
        <v/>
      </c>
      <c r="R29" s="392">
        <f>IF(ISNUMBER(C29),IFERROR(N(I29)*VLOOKUP(C29,Sundry!$A$4:$G$20,3,TRUE),0),0)</f>
        <v/>
      </c>
      <c r="S29" s="392">
        <f>IF(AND(ISNUMBER(C29),ISNUMBER(E29),UPPER(J29)="N",E29&lt;VLOOKUP(C29,Sundry!$A$4:$G$20,7,TRUE)),VLOOKUP(C29,Sundry!$A$4:$G$20,6,TRUE),0)</f>
        <v/>
      </c>
      <c r="T29" s="393">
        <f>M29+O29+P29+Q29+R29+S29</f>
        <v/>
      </c>
    </row>
    <row r="30">
      <c r="A30" s="388" t="n"/>
      <c r="B30" s="388" t="n"/>
      <c r="C30" s="389" t="n"/>
      <c r="D30" s="389" t="n"/>
      <c r="E30" s="390" t="n"/>
      <c r="F30" s="391" t="n"/>
      <c r="G30" s="306" t="n">
        <v>1</v>
      </c>
      <c r="H30" s="306" t="n">
        <v>1</v>
      </c>
      <c r="I30" s="306" t="n">
        <v>0</v>
      </c>
      <c r="J30" s="306" t="inlineStr">
        <is>
          <t>J</t>
        </is>
      </c>
      <c r="K30" s="392">
        <f>IF(ISNUMBER(E30),IF(ISNUMBER(F30),F30,Instellingen!$B$6)+Instellingen!$B$5,"")</f>
        <v/>
      </c>
      <c r="L30" s="392">
        <f>IFERROR(INDEX(Impregnatie!$B$4:$O$25,MATCH(C30,Impregnatie!$A$4:$A$25,0),MATCH(D30,Impregnatie!$B$3:$O$3,0))*(1+Instellingen!$B$4),"")</f>
        <v/>
      </c>
      <c r="M30" s="392">
        <f>IF(AND(ISNUMBER(E30),ISNUMBER(L30)),E30*L30,0)</f>
        <v/>
      </c>
      <c r="N30" s="392">
        <f>IFERROR(INDEX('Droge kous'!$B$4:$T$33,MATCH(C30,'Droge kous'!$A$4:$A$33,0),MATCH(D30,'Droge kous'!$B$3:$T$3,0)),"")</f>
        <v/>
      </c>
      <c r="O30" s="392">
        <f>IF(AND(ISNUMBER(K30),ISNUMBER(N30)),K30*N30,0)</f>
        <v/>
      </c>
      <c r="P30" s="392">
        <f>IF(ISNUMBER(C30),IFERROR(N(G30)*VLOOKUP(C30,Sundry!$A$4:$G$20,4,TRUE),0),0)</f>
        <v/>
      </c>
      <c r="Q30" s="392">
        <f>IF(ISNUMBER(C30),IFERROR(N(H30)*VLOOKUP(C30,Sundry!$A$4:$G$20,5,TRUE),0),0)</f>
        <v/>
      </c>
      <c r="R30" s="392">
        <f>IF(ISNUMBER(C30),IFERROR(N(I30)*VLOOKUP(C30,Sundry!$A$4:$G$20,3,TRUE),0),0)</f>
        <v/>
      </c>
      <c r="S30" s="392">
        <f>IF(AND(ISNUMBER(C30),ISNUMBER(E30),UPPER(J30)="N",E30&lt;VLOOKUP(C30,Sundry!$A$4:$G$20,7,TRUE)),VLOOKUP(C30,Sundry!$A$4:$G$20,6,TRUE),0)</f>
        <v/>
      </c>
      <c r="T30" s="393">
        <f>M30+O30+P30+Q30+R30+S30</f>
        <v/>
      </c>
    </row>
    <row r="31">
      <c r="A31" s="388" t="n"/>
      <c r="B31" s="388" t="n"/>
      <c r="C31" s="389" t="n"/>
      <c r="D31" s="389" t="n"/>
      <c r="E31" s="390" t="n"/>
      <c r="F31" s="391" t="n"/>
      <c r="G31" s="306" t="n">
        <v>1</v>
      </c>
      <c r="H31" s="306" t="n">
        <v>1</v>
      </c>
      <c r="I31" s="306" t="n">
        <v>0</v>
      </c>
      <c r="J31" s="306" t="inlineStr">
        <is>
          <t>J</t>
        </is>
      </c>
      <c r="K31" s="392">
        <f>IF(ISNUMBER(E31),IF(ISNUMBER(F31),F31,Instellingen!$B$6)+Instellingen!$B$5,"")</f>
        <v/>
      </c>
      <c r="L31" s="392">
        <f>IFERROR(INDEX(Impregnatie!$B$4:$O$25,MATCH(C31,Impregnatie!$A$4:$A$25,0),MATCH(D31,Impregnatie!$B$3:$O$3,0))*(1+Instellingen!$B$4),"")</f>
        <v/>
      </c>
      <c r="M31" s="392">
        <f>IF(AND(ISNUMBER(E31),ISNUMBER(L31)),E31*L31,0)</f>
        <v/>
      </c>
      <c r="N31" s="392">
        <f>IFERROR(INDEX('Droge kous'!$B$4:$T$33,MATCH(C31,'Droge kous'!$A$4:$A$33,0),MATCH(D31,'Droge kous'!$B$3:$T$3,0)),"")</f>
        <v/>
      </c>
      <c r="O31" s="392">
        <f>IF(AND(ISNUMBER(K31),ISNUMBER(N31)),K31*N31,0)</f>
        <v/>
      </c>
      <c r="P31" s="392">
        <f>IF(ISNUMBER(C31),IFERROR(N(G31)*VLOOKUP(C31,Sundry!$A$4:$G$20,4,TRUE),0),0)</f>
        <v/>
      </c>
      <c r="Q31" s="392">
        <f>IF(ISNUMBER(C31),IFERROR(N(H31)*VLOOKUP(C31,Sundry!$A$4:$G$20,5,TRUE),0),0)</f>
        <v/>
      </c>
      <c r="R31" s="392">
        <f>IF(ISNUMBER(C31),IFERROR(N(I31)*VLOOKUP(C31,Sundry!$A$4:$G$20,3,TRUE),0),0)</f>
        <v/>
      </c>
      <c r="S31" s="392">
        <f>IF(AND(ISNUMBER(C31),ISNUMBER(E31),UPPER(J31)="N",E31&lt;VLOOKUP(C31,Sundry!$A$4:$G$20,7,TRUE)),VLOOKUP(C31,Sundry!$A$4:$G$20,6,TRUE),0)</f>
        <v/>
      </c>
      <c r="T31" s="393">
        <f>M31+O31+P31+Q31+R31+S31</f>
        <v/>
      </c>
    </row>
    <row r="32">
      <c r="A32" s="388" t="n"/>
      <c r="B32" s="388" t="n"/>
      <c r="C32" s="389" t="n"/>
      <c r="D32" s="389" t="n"/>
      <c r="E32" s="390" t="n"/>
      <c r="F32" s="391" t="n"/>
      <c r="G32" s="306" t="n">
        <v>1</v>
      </c>
      <c r="H32" s="306" t="n">
        <v>1</v>
      </c>
      <c r="I32" s="306" t="n">
        <v>0</v>
      </c>
      <c r="J32" s="306" t="inlineStr">
        <is>
          <t>J</t>
        </is>
      </c>
      <c r="K32" s="392">
        <f>IF(ISNUMBER(E32),IF(ISNUMBER(F32),F32,Instellingen!$B$6)+Instellingen!$B$5,"")</f>
        <v/>
      </c>
      <c r="L32" s="392">
        <f>IFERROR(INDEX(Impregnatie!$B$4:$O$25,MATCH(C32,Impregnatie!$A$4:$A$25,0),MATCH(D32,Impregnatie!$B$3:$O$3,0))*(1+Instellingen!$B$4),"")</f>
        <v/>
      </c>
      <c r="M32" s="392">
        <f>IF(AND(ISNUMBER(E32),ISNUMBER(L32)),E32*L32,0)</f>
        <v/>
      </c>
      <c r="N32" s="392">
        <f>IFERROR(INDEX('Droge kous'!$B$4:$T$33,MATCH(C32,'Droge kous'!$A$4:$A$33,0),MATCH(D32,'Droge kous'!$B$3:$T$3,0)),"")</f>
        <v/>
      </c>
      <c r="O32" s="392">
        <f>IF(AND(ISNUMBER(K32),ISNUMBER(N32)),K32*N32,0)</f>
        <v/>
      </c>
      <c r="P32" s="392">
        <f>IF(ISNUMBER(C32),IFERROR(N(G32)*VLOOKUP(C32,Sundry!$A$4:$G$20,4,TRUE),0),0)</f>
        <v/>
      </c>
      <c r="Q32" s="392">
        <f>IF(ISNUMBER(C32),IFERROR(N(H32)*VLOOKUP(C32,Sundry!$A$4:$G$20,5,TRUE),0),0)</f>
        <v/>
      </c>
      <c r="R32" s="392">
        <f>IF(ISNUMBER(C32),IFERROR(N(I32)*VLOOKUP(C32,Sundry!$A$4:$G$20,3,TRUE),0),0)</f>
        <v/>
      </c>
      <c r="S32" s="392">
        <f>IF(AND(ISNUMBER(C32),ISNUMBER(E32),UPPER(J32)="N",E32&lt;VLOOKUP(C32,Sundry!$A$4:$G$20,7,TRUE)),VLOOKUP(C32,Sundry!$A$4:$G$20,6,TRUE),0)</f>
        <v/>
      </c>
      <c r="T32" s="393">
        <f>M32+O32+P32+Q32+R32+S32</f>
        <v/>
      </c>
    </row>
    <row r="33">
      <c r="A33" s="388" t="n"/>
      <c r="B33" s="388" t="n"/>
      <c r="C33" s="389" t="n"/>
      <c r="D33" s="389" t="n"/>
      <c r="E33" s="390" t="n"/>
      <c r="F33" s="391" t="n"/>
      <c r="G33" s="306" t="n">
        <v>1</v>
      </c>
      <c r="H33" s="306" t="n">
        <v>1</v>
      </c>
      <c r="I33" s="306" t="n">
        <v>0</v>
      </c>
      <c r="J33" s="306" t="inlineStr">
        <is>
          <t>J</t>
        </is>
      </c>
      <c r="K33" s="392">
        <f>IF(ISNUMBER(E33),IF(ISNUMBER(F33),F33,Instellingen!$B$6)+Instellingen!$B$5,"")</f>
        <v/>
      </c>
      <c r="L33" s="392">
        <f>IFERROR(INDEX(Impregnatie!$B$4:$O$25,MATCH(C33,Impregnatie!$A$4:$A$25,0),MATCH(D33,Impregnatie!$B$3:$O$3,0))*(1+Instellingen!$B$4),"")</f>
        <v/>
      </c>
      <c r="M33" s="392">
        <f>IF(AND(ISNUMBER(E33),ISNUMBER(L33)),E33*L33,0)</f>
        <v/>
      </c>
      <c r="N33" s="392">
        <f>IFERROR(INDEX('Droge kous'!$B$4:$T$33,MATCH(C33,'Droge kous'!$A$4:$A$33,0),MATCH(D33,'Droge kous'!$B$3:$T$3,0)),"")</f>
        <v/>
      </c>
      <c r="O33" s="392">
        <f>IF(AND(ISNUMBER(K33),ISNUMBER(N33)),K33*N33,0)</f>
        <v/>
      </c>
      <c r="P33" s="392">
        <f>IF(ISNUMBER(C33),IFERROR(N(G33)*VLOOKUP(C33,Sundry!$A$4:$G$20,4,TRUE),0),0)</f>
        <v/>
      </c>
      <c r="Q33" s="392">
        <f>IF(ISNUMBER(C33),IFERROR(N(H33)*VLOOKUP(C33,Sundry!$A$4:$G$20,5,TRUE),0),0)</f>
        <v/>
      </c>
      <c r="R33" s="392">
        <f>IF(ISNUMBER(C33),IFERROR(N(I33)*VLOOKUP(C33,Sundry!$A$4:$G$20,3,TRUE),0),0)</f>
        <v/>
      </c>
      <c r="S33" s="392">
        <f>IF(AND(ISNUMBER(C33),ISNUMBER(E33),UPPER(J33)="N",E33&lt;VLOOKUP(C33,Sundry!$A$4:$G$20,7,TRUE)),VLOOKUP(C33,Sundry!$A$4:$G$20,6,TRUE),0)</f>
        <v/>
      </c>
      <c r="T33" s="393">
        <f>M33+O33+P33+Q33+R33+S33</f>
        <v/>
      </c>
    </row>
    <row r="34">
      <c r="A34" s="388" t="n"/>
      <c r="B34" s="388" t="n"/>
      <c r="C34" s="389" t="n"/>
      <c r="D34" s="389" t="n"/>
      <c r="E34" s="390" t="n"/>
      <c r="F34" s="391" t="n"/>
      <c r="G34" s="306" t="n">
        <v>1</v>
      </c>
      <c r="H34" s="306" t="n">
        <v>1</v>
      </c>
      <c r="I34" s="306" t="n">
        <v>0</v>
      </c>
      <c r="J34" s="306" t="inlineStr">
        <is>
          <t>J</t>
        </is>
      </c>
      <c r="K34" s="392">
        <f>IF(ISNUMBER(E34),IF(ISNUMBER(F34),F34,Instellingen!$B$6)+Instellingen!$B$5,"")</f>
        <v/>
      </c>
      <c r="L34" s="392">
        <f>IFERROR(INDEX(Impregnatie!$B$4:$O$25,MATCH(C34,Impregnatie!$A$4:$A$25,0),MATCH(D34,Impregnatie!$B$3:$O$3,0))*(1+Instellingen!$B$4),"")</f>
        <v/>
      </c>
      <c r="M34" s="392">
        <f>IF(AND(ISNUMBER(E34),ISNUMBER(L34)),E34*L34,0)</f>
        <v/>
      </c>
      <c r="N34" s="392">
        <f>IFERROR(INDEX('Droge kous'!$B$4:$T$33,MATCH(C34,'Droge kous'!$A$4:$A$33,0),MATCH(D34,'Droge kous'!$B$3:$T$3,0)),"")</f>
        <v/>
      </c>
      <c r="O34" s="392">
        <f>IF(AND(ISNUMBER(K34),ISNUMBER(N34)),K34*N34,0)</f>
        <v/>
      </c>
      <c r="P34" s="392">
        <f>IF(ISNUMBER(C34),IFERROR(N(G34)*VLOOKUP(C34,Sundry!$A$4:$G$20,4,TRUE),0),0)</f>
        <v/>
      </c>
      <c r="Q34" s="392">
        <f>IF(ISNUMBER(C34),IFERROR(N(H34)*VLOOKUP(C34,Sundry!$A$4:$G$20,5,TRUE),0),0)</f>
        <v/>
      </c>
      <c r="R34" s="392">
        <f>IF(ISNUMBER(C34),IFERROR(N(I34)*VLOOKUP(C34,Sundry!$A$4:$G$20,3,TRUE),0),0)</f>
        <v/>
      </c>
      <c r="S34" s="392">
        <f>IF(AND(ISNUMBER(C34),ISNUMBER(E34),UPPER(J34)="N",E34&lt;VLOOKUP(C34,Sundry!$A$4:$G$20,7,TRUE)),VLOOKUP(C34,Sundry!$A$4:$G$20,6,TRUE),0)</f>
        <v/>
      </c>
      <c r="T34" s="393">
        <f>M34+O34+P34+Q34+R34+S34</f>
        <v/>
      </c>
    </row>
    <row r="35">
      <c r="A35" s="388" t="n"/>
      <c r="B35" s="388" t="n"/>
      <c r="C35" s="389" t="n"/>
      <c r="D35" s="389" t="n"/>
      <c r="E35" s="390" t="n"/>
      <c r="F35" s="391" t="n"/>
      <c r="G35" s="306" t="n">
        <v>1</v>
      </c>
      <c r="H35" s="306" t="n">
        <v>1</v>
      </c>
      <c r="I35" s="306" t="n">
        <v>0</v>
      </c>
      <c r="J35" s="306" t="inlineStr">
        <is>
          <t>J</t>
        </is>
      </c>
      <c r="K35" s="392">
        <f>IF(ISNUMBER(E35),IF(ISNUMBER(F35),F35,Instellingen!$B$6)+Instellingen!$B$5,"")</f>
        <v/>
      </c>
      <c r="L35" s="392">
        <f>IFERROR(INDEX(Impregnatie!$B$4:$O$25,MATCH(C35,Impregnatie!$A$4:$A$25,0),MATCH(D35,Impregnatie!$B$3:$O$3,0))*(1+Instellingen!$B$4),"")</f>
        <v/>
      </c>
      <c r="M35" s="392">
        <f>IF(AND(ISNUMBER(E35),ISNUMBER(L35)),E35*L35,0)</f>
        <v/>
      </c>
      <c r="N35" s="392">
        <f>IFERROR(INDEX('Droge kous'!$B$4:$T$33,MATCH(C35,'Droge kous'!$A$4:$A$33,0),MATCH(D35,'Droge kous'!$B$3:$T$3,0)),"")</f>
        <v/>
      </c>
      <c r="O35" s="392">
        <f>IF(AND(ISNUMBER(K35),ISNUMBER(N35)),K35*N35,0)</f>
        <v/>
      </c>
      <c r="P35" s="392">
        <f>IF(ISNUMBER(C35),IFERROR(N(G35)*VLOOKUP(C35,Sundry!$A$4:$G$20,4,TRUE),0),0)</f>
        <v/>
      </c>
      <c r="Q35" s="392">
        <f>IF(ISNUMBER(C35),IFERROR(N(H35)*VLOOKUP(C35,Sundry!$A$4:$G$20,5,TRUE),0),0)</f>
        <v/>
      </c>
      <c r="R35" s="392">
        <f>IF(ISNUMBER(C35),IFERROR(N(I35)*VLOOKUP(C35,Sundry!$A$4:$G$20,3,TRUE),0),0)</f>
        <v/>
      </c>
      <c r="S35" s="392">
        <f>IF(AND(ISNUMBER(C35),ISNUMBER(E35),UPPER(J35)="N",E35&lt;VLOOKUP(C35,Sundry!$A$4:$G$20,7,TRUE)),VLOOKUP(C35,Sundry!$A$4:$G$20,6,TRUE),0)</f>
        <v/>
      </c>
      <c r="T35" s="393">
        <f>M35+O35+P35+Q35+R35+S35</f>
        <v/>
      </c>
    </row>
    <row r="36">
      <c r="A36" s="388" t="n"/>
      <c r="B36" s="388" t="n"/>
      <c r="C36" s="389" t="n"/>
      <c r="D36" s="389" t="n"/>
      <c r="E36" s="390" t="n"/>
      <c r="F36" s="391" t="n"/>
      <c r="G36" s="306" t="n">
        <v>1</v>
      </c>
      <c r="H36" s="306" t="n">
        <v>1</v>
      </c>
      <c r="I36" s="306" t="n">
        <v>0</v>
      </c>
      <c r="J36" s="306" t="inlineStr">
        <is>
          <t>J</t>
        </is>
      </c>
      <c r="K36" s="392">
        <f>IF(ISNUMBER(E36),IF(ISNUMBER(F36),F36,Instellingen!$B$6)+Instellingen!$B$5,"")</f>
        <v/>
      </c>
      <c r="L36" s="392">
        <f>IFERROR(INDEX(Impregnatie!$B$4:$O$25,MATCH(C36,Impregnatie!$A$4:$A$25,0),MATCH(D36,Impregnatie!$B$3:$O$3,0))*(1+Instellingen!$B$4),"")</f>
        <v/>
      </c>
      <c r="M36" s="392">
        <f>IF(AND(ISNUMBER(E36),ISNUMBER(L36)),E36*L36,0)</f>
        <v/>
      </c>
      <c r="N36" s="392">
        <f>IFERROR(INDEX('Droge kous'!$B$4:$T$33,MATCH(C36,'Droge kous'!$A$4:$A$33,0),MATCH(D36,'Droge kous'!$B$3:$T$3,0)),"")</f>
        <v/>
      </c>
      <c r="O36" s="392">
        <f>IF(AND(ISNUMBER(K36),ISNUMBER(N36)),K36*N36,0)</f>
        <v/>
      </c>
      <c r="P36" s="392">
        <f>IF(ISNUMBER(C36),IFERROR(N(G36)*VLOOKUP(C36,Sundry!$A$4:$G$20,4,TRUE),0),0)</f>
        <v/>
      </c>
      <c r="Q36" s="392">
        <f>IF(ISNUMBER(C36),IFERROR(N(H36)*VLOOKUP(C36,Sundry!$A$4:$G$20,5,TRUE),0),0)</f>
        <v/>
      </c>
      <c r="R36" s="392">
        <f>IF(ISNUMBER(C36),IFERROR(N(I36)*VLOOKUP(C36,Sundry!$A$4:$G$20,3,TRUE),0),0)</f>
        <v/>
      </c>
      <c r="S36" s="392">
        <f>IF(AND(ISNUMBER(C36),ISNUMBER(E36),UPPER(J36)="N",E36&lt;VLOOKUP(C36,Sundry!$A$4:$G$20,7,TRUE)),VLOOKUP(C36,Sundry!$A$4:$G$20,6,TRUE),0)</f>
        <v/>
      </c>
      <c r="T36" s="393">
        <f>M36+O36+P36+Q36+R36+S36</f>
        <v/>
      </c>
    </row>
    <row r="37">
      <c r="A37" s="388" t="n"/>
      <c r="B37" s="388" t="n"/>
      <c r="C37" s="389" t="n"/>
      <c r="D37" s="389" t="n"/>
      <c r="E37" s="390" t="n"/>
      <c r="F37" s="391" t="n"/>
      <c r="G37" s="306" t="n">
        <v>1</v>
      </c>
      <c r="H37" s="306" t="n">
        <v>1</v>
      </c>
      <c r="I37" s="306" t="n">
        <v>0</v>
      </c>
      <c r="J37" s="306" t="inlineStr">
        <is>
          <t>J</t>
        </is>
      </c>
      <c r="K37" s="392">
        <f>IF(ISNUMBER(E37),IF(ISNUMBER(F37),F37,Instellingen!$B$6)+Instellingen!$B$5,"")</f>
        <v/>
      </c>
      <c r="L37" s="392">
        <f>IFERROR(INDEX(Impregnatie!$B$4:$O$25,MATCH(C37,Impregnatie!$A$4:$A$25,0),MATCH(D37,Impregnatie!$B$3:$O$3,0))*(1+Instellingen!$B$4),"")</f>
        <v/>
      </c>
      <c r="M37" s="392">
        <f>IF(AND(ISNUMBER(E37),ISNUMBER(L37)),E37*L37,0)</f>
        <v/>
      </c>
      <c r="N37" s="392">
        <f>IFERROR(INDEX('Droge kous'!$B$4:$T$33,MATCH(C37,'Droge kous'!$A$4:$A$33,0),MATCH(D37,'Droge kous'!$B$3:$T$3,0)),"")</f>
        <v/>
      </c>
      <c r="O37" s="392">
        <f>IF(AND(ISNUMBER(K37),ISNUMBER(N37)),K37*N37,0)</f>
        <v/>
      </c>
      <c r="P37" s="392">
        <f>IF(ISNUMBER(C37),IFERROR(N(G37)*VLOOKUP(C37,Sundry!$A$4:$G$20,4,TRUE),0),0)</f>
        <v/>
      </c>
      <c r="Q37" s="392">
        <f>IF(ISNUMBER(C37),IFERROR(N(H37)*VLOOKUP(C37,Sundry!$A$4:$G$20,5,TRUE),0),0)</f>
        <v/>
      </c>
      <c r="R37" s="392">
        <f>IF(ISNUMBER(C37),IFERROR(N(I37)*VLOOKUP(C37,Sundry!$A$4:$G$20,3,TRUE),0),0)</f>
        <v/>
      </c>
      <c r="S37" s="392">
        <f>IF(AND(ISNUMBER(C37),ISNUMBER(E37),UPPER(J37)="N",E37&lt;VLOOKUP(C37,Sundry!$A$4:$G$20,7,TRUE)),VLOOKUP(C37,Sundry!$A$4:$G$20,6,TRUE),0)</f>
        <v/>
      </c>
      <c r="T37" s="393">
        <f>M37+O37+P37+Q37+R37+S37</f>
        <v/>
      </c>
    </row>
    <row r="38">
      <c r="A38" s="388" t="n"/>
      <c r="B38" s="388" t="n"/>
      <c r="C38" s="389" t="n"/>
      <c r="D38" s="389" t="n"/>
      <c r="E38" s="390" t="n"/>
      <c r="F38" s="391" t="n"/>
      <c r="G38" s="306" t="n">
        <v>1</v>
      </c>
      <c r="H38" s="306" t="n">
        <v>1</v>
      </c>
      <c r="I38" s="306" t="n">
        <v>0</v>
      </c>
      <c r="J38" s="306" t="inlineStr">
        <is>
          <t>J</t>
        </is>
      </c>
      <c r="K38" s="392">
        <f>IF(ISNUMBER(E38),IF(ISNUMBER(F38),F38,Instellingen!$B$6)+Instellingen!$B$5,"")</f>
        <v/>
      </c>
      <c r="L38" s="392">
        <f>IFERROR(INDEX(Impregnatie!$B$4:$O$25,MATCH(C38,Impregnatie!$A$4:$A$25,0),MATCH(D38,Impregnatie!$B$3:$O$3,0))*(1+Instellingen!$B$4),"")</f>
        <v/>
      </c>
      <c r="M38" s="392">
        <f>IF(AND(ISNUMBER(E38),ISNUMBER(L38)),E38*L38,0)</f>
        <v/>
      </c>
      <c r="N38" s="392">
        <f>IFERROR(INDEX('Droge kous'!$B$4:$T$33,MATCH(C38,'Droge kous'!$A$4:$A$33,0),MATCH(D38,'Droge kous'!$B$3:$T$3,0)),"")</f>
        <v/>
      </c>
      <c r="O38" s="392">
        <f>IF(AND(ISNUMBER(K38),ISNUMBER(N38)),K38*N38,0)</f>
        <v/>
      </c>
      <c r="P38" s="392">
        <f>IF(ISNUMBER(C38),IFERROR(N(G38)*VLOOKUP(C38,Sundry!$A$4:$G$20,4,TRUE),0),0)</f>
        <v/>
      </c>
      <c r="Q38" s="392">
        <f>IF(ISNUMBER(C38),IFERROR(N(H38)*VLOOKUP(C38,Sundry!$A$4:$G$20,5,TRUE),0),0)</f>
        <v/>
      </c>
      <c r="R38" s="392">
        <f>IF(ISNUMBER(C38),IFERROR(N(I38)*VLOOKUP(C38,Sundry!$A$4:$G$20,3,TRUE),0),0)</f>
        <v/>
      </c>
      <c r="S38" s="392">
        <f>IF(AND(ISNUMBER(C38),ISNUMBER(E38),UPPER(J38)="N",E38&lt;VLOOKUP(C38,Sundry!$A$4:$G$20,7,TRUE)),VLOOKUP(C38,Sundry!$A$4:$G$20,6,TRUE),0)</f>
        <v/>
      </c>
      <c r="T38" s="393">
        <f>M38+O38+P38+Q38+R38+S38</f>
        <v/>
      </c>
    </row>
    <row r="39">
      <c r="A39" s="388" t="n"/>
      <c r="B39" s="388" t="n"/>
      <c r="C39" s="389" t="n"/>
      <c r="D39" s="389" t="n"/>
      <c r="E39" s="390" t="n"/>
      <c r="F39" s="391" t="n"/>
      <c r="G39" s="306" t="n">
        <v>1</v>
      </c>
      <c r="H39" s="306" t="n">
        <v>1</v>
      </c>
      <c r="I39" s="306" t="n">
        <v>0</v>
      </c>
      <c r="J39" s="306" t="inlineStr">
        <is>
          <t>J</t>
        </is>
      </c>
      <c r="K39" s="392">
        <f>IF(ISNUMBER(E39),IF(ISNUMBER(F39),F39,Instellingen!$B$6)+Instellingen!$B$5,"")</f>
        <v/>
      </c>
      <c r="L39" s="392">
        <f>IFERROR(INDEX(Impregnatie!$B$4:$O$25,MATCH(C39,Impregnatie!$A$4:$A$25,0),MATCH(D39,Impregnatie!$B$3:$O$3,0))*(1+Instellingen!$B$4),"")</f>
        <v/>
      </c>
      <c r="M39" s="392">
        <f>IF(AND(ISNUMBER(E39),ISNUMBER(L39)),E39*L39,0)</f>
        <v/>
      </c>
      <c r="N39" s="392">
        <f>IFERROR(INDEX('Droge kous'!$B$4:$T$33,MATCH(C39,'Droge kous'!$A$4:$A$33,0),MATCH(D39,'Droge kous'!$B$3:$T$3,0)),"")</f>
        <v/>
      </c>
      <c r="O39" s="392">
        <f>IF(AND(ISNUMBER(K39),ISNUMBER(N39)),K39*N39,0)</f>
        <v/>
      </c>
      <c r="P39" s="392">
        <f>IF(ISNUMBER(C39),IFERROR(N(G39)*VLOOKUP(C39,Sundry!$A$4:$G$20,4,TRUE),0),0)</f>
        <v/>
      </c>
      <c r="Q39" s="392">
        <f>IF(ISNUMBER(C39),IFERROR(N(H39)*VLOOKUP(C39,Sundry!$A$4:$G$20,5,TRUE),0),0)</f>
        <v/>
      </c>
      <c r="R39" s="392">
        <f>IF(ISNUMBER(C39),IFERROR(N(I39)*VLOOKUP(C39,Sundry!$A$4:$G$20,3,TRUE),0),0)</f>
        <v/>
      </c>
      <c r="S39" s="392">
        <f>IF(AND(ISNUMBER(C39),ISNUMBER(E39),UPPER(J39)="N",E39&lt;VLOOKUP(C39,Sundry!$A$4:$G$20,7,TRUE)),VLOOKUP(C39,Sundry!$A$4:$G$20,6,TRUE),0)</f>
        <v/>
      </c>
      <c r="T39" s="393">
        <f>M39+O39+P39+Q39+R39+S39</f>
        <v/>
      </c>
    </row>
    <row r="40">
      <c r="A40" s="388" t="n"/>
      <c r="B40" s="388" t="n"/>
      <c r="C40" s="389" t="n"/>
      <c r="D40" s="389" t="n"/>
      <c r="E40" s="390" t="n"/>
      <c r="F40" s="391" t="n"/>
      <c r="G40" s="306" t="n">
        <v>1</v>
      </c>
      <c r="H40" s="306" t="n">
        <v>1</v>
      </c>
      <c r="I40" s="306" t="n">
        <v>0</v>
      </c>
      <c r="J40" s="306" t="inlineStr">
        <is>
          <t>J</t>
        </is>
      </c>
      <c r="K40" s="392">
        <f>IF(ISNUMBER(E40),IF(ISNUMBER(F40),F40,Instellingen!$B$6)+Instellingen!$B$5,"")</f>
        <v/>
      </c>
      <c r="L40" s="392">
        <f>IFERROR(INDEX(Impregnatie!$B$4:$O$25,MATCH(C40,Impregnatie!$A$4:$A$25,0),MATCH(D40,Impregnatie!$B$3:$O$3,0))*(1+Instellingen!$B$4),"")</f>
        <v/>
      </c>
      <c r="M40" s="392">
        <f>IF(AND(ISNUMBER(E40),ISNUMBER(L40)),E40*L40,0)</f>
        <v/>
      </c>
      <c r="N40" s="392">
        <f>IFERROR(INDEX('Droge kous'!$B$4:$T$33,MATCH(C40,'Droge kous'!$A$4:$A$33,0),MATCH(D40,'Droge kous'!$B$3:$T$3,0)),"")</f>
        <v/>
      </c>
      <c r="O40" s="392">
        <f>IF(AND(ISNUMBER(K40),ISNUMBER(N40)),K40*N40,0)</f>
        <v/>
      </c>
      <c r="P40" s="392">
        <f>IF(ISNUMBER(C40),IFERROR(N(G40)*VLOOKUP(C40,Sundry!$A$4:$G$20,4,TRUE),0),0)</f>
        <v/>
      </c>
      <c r="Q40" s="392">
        <f>IF(ISNUMBER(C40),IFERROR(N(H40)*VLOOKUP(C40,Sundry!$A$4:$G$20,5,TRUE),0),0)</f>
        <v/>
      </c>
      <c r="R40" s="392">
        <f>IF(ISNUMBER(C40),IFERROR(N(I40)*VLOOKUP(C40,Sundry!$A$4:$G$20,3,TRUE),0),0)</f>
        <v/>
      </c>
      <c r="S40" s="392">
        <f>IF(AND(ISNUMBER(C40),ISNUMBER(E40),UPPER(J40)="N",E40&lt;VLOOKUP(C40,Sundry!$A$4:$G$20,7,TRUE)),VLOOKUP(C40,Sundry!$A$4:$G$20,6,TRUE),0)</f>
        <v/>
      </c>
      <c r="T40" s="393">
        <f>M40+O40+P40+Q40+R40+S40</f>
        <v/>
      </c>
    </row>
    <row r="41">
      <c r="A41" s="388" t="n"/>
      <c r="B41" s="388" t="n"/>
      <c r="C41" s="389" t="n"/>
      <c r="D41" s="389" t="n"/>
      <c r="E41" s="390" t="n"/>
      <c r="F41" s="391" t="n"/>
      <c r="G41" s="306" t="n">
        <v>1</v>
      </c>
      <c r="H41" s="306" t="n">
        <v>1</v>
      </c>
      <c r="I41" s="306" t="n">
        <v>0</v>
      </c>
      <c r="J41" s="306" t="inlineStr">
        <is>
          <t>J</t>
        </is>
      </c>
      <c r="K41" s="392">
        <f>IF(ISNUMBER(E41),IF(ISNUMBER(F41),F41,Instellingen!$B$6)+Instellingen!$B$5,"")</f>
        <v/>
      </c>
      <c r="L41" s="392">
        <f>IFERROR(INDEX(Impregnatie!$B$4:$O$25,MATCH(C41,Impregnatie!$A$4:$A$25,0),MATCH(D41,Impregnatie!$B$3:$O$3,0))*(1+Instellingen!$B$4),"")</f>
        <v/>
      </c>
      <c r="M41" s="392">
        <f>IF(AND(ISNUMBER(E41),ISNUMBER(L41)),E41*L41,0)</f>
        <v/>
      </c>
      <c r="N41" s="392">
        <f>IFERROR(INDEX('Droge kous'!$B$4:$T$33,MATCH(C41,'Droge kous'!$A$4:$A$33,0),MATCH(D41,'Droge kous'!$B$3:$T$3,0)),"")</f>
        <v/>
      </c>
      <c r="O41" s="392">
        <f>IF(AND(ISNUMBER(K41),ISNUMBER(N41)),K41*N41,0)</f>
        <v/>
      </c>
      <c r="P41" s="392">
        <f>IF(ISNUMBER(C41),IFERROR(N(G41)*VLOOKUP(C41,Sundry!$A$4:$G$20,4,TRUE),0),0)</f>
        <v/>
      </c>
      <c r="Q41" s="392">
        <f>IF(ISNUMBER(C41),IFERROR(N(H41)*VLOOKUP(C41,Sundry!$A$4:$G$20,5,TRUE),0),0)</f>
        <v/>
      </c>
      <c r="R41" s="392">
        <f>IF(ISNUMBER(C41),IFERROR(N(I41)*VLOOKUP(C41,Sundry!$A$4:$G$20,3,TRUE),0),0)</f>
        <v/>
      </c>
      <c r="S41" s="392">
        <f>IF(AND(ISNUMBER(C41),ISNUMBER(E41),UPPER(J41)="N",E41&lt;VLOOKUP(C41,Sundry!$A$4:$G$20,7,TRUE)),VLOOKUP(C41,Sundry!$A$4:$G$20,6,TRUE),0)</f>
        <v/>
      </c>
      <c r="T41" s="393">
        <f>M41+O41+P41+Q41+R41+S41</f>
        <v/>
      </c>
    </row>
    <row r="42">
      <c r="A42" s="388" t="n"/>
      <c r="B42" s="388" t="n"/>
      <c r="C42" s="389" t="n"/>
      <c r="D42" s="389" t="n"/>
      <c r="E42" s="390" t="n"/>
      <c r="F42" s="391" t="n"/>
      <c r="G42" s="306" t="n">
        <v>1</v>
      </c>
      <c r="H42" s="306" t="n">
        <v>1</v>
      </c>
      <c r="I42" s="306" t="n">
        <v>0</v>
      </c>
      <c r="J42" s="306" t="inlineStr">
        <is>
          <t>J</t>
        </is>
      </c>
      <c r="K42" s="392">
        <f>IF(ISNUMBER(E42),IF(ISNUMBER(F42),F42,Instellingen!$B$6)+Instellingen!$B$5,"")</f>
        <v/>
      </c>
      <c r="L42" s="392">
        <f>IFERROR(INDEX(Impregnatie!$B$4:$O$25,MATCH(C42,Impregnatie!$A$4:$A$25,0),MATCH(D42,Impregnatie!$B$3:$O$3,0))*(1+Instellingen!$B$4),"")</f>
        <v/>
      </c>
      <c r="M42" s="392">
        <f>IF(AND(ISNUMBER(E42),ISNUMBER(L42)),E42*L42,0)</f>
        <v/>
      </c>
      <c r="N42" s="392">
        <f>IFERROR(INDEX('Droge kous'!$B$4:$T$33,MATCH(C42,'Droge kous'!$A$4:$A$33,0),MATCH(D42,'Droge kous'!$B$3:$T$3,0)),"")</f>
        <v/>
      </c>
      <c r="O42" s="392">
        <f>IF(AND(ISNUMBER(K42),ISNUMBER(N42)),K42*N42,0)</f>
        <v/>
      </c>
      <c r="P42" s="392">
        <f>IF(ISNUMBER(C42),IFERROR(N(G42)*VLOOKUP(C42,Sundry!$A$4:$G$20,4,TRUE),0),0)</f>
        <v/>
      </c>
      <c r="Q42" s="392">
        <f>IF(ISNUMBER(C42),IFERROR(N(H42)*VLOOKUP(C42,Sundry!$A$4:$G$20,5,TRUE),0),0)</f>
        <v/>
      </c>
      <c r="R42" s="392">
        <f>IF(ISNUMBER(C42),IFERROR(N(I42)*VLOOKUP(C42,Sundry!$A$4:$G$20,3,TRUE),0),0)</f>
        <v/>
      </c>
      <c r="S42" s="392">
        <f>IF(AND(ISNUMBER(C42),ISNUMBER(E42),UPPER(J42)="N",E42&lt;VLOOKUP(C42,Sundry!$A$4:$G$20,7,TRUE)),VLOOKUP(C42,Sundry!$A$4:$G$20,6,TRUE),0)</f>
        <v/>
      </c>
      <c r="T42" s="393">
        <f>M42+O42+P42+Q42+R42+S42</f>
        <v/>
      </c>
    </row>
    <row r="43">
      <c r="A43" s="388" t="n"/>
      <c r="B43" s="388" t="n"/>
      <c r="C43" s="389" t="n"/>
      <c r="D43" s="389" t="n"/>
      <c r="E43" s="390" t="n"/>
      <c r="F43" s="391" t="n"/>
      <c r="G43" s="306" t="n">
        <v>1</v>
      </c>
      <c r="H43" s="306" t="n">
        <v>1</v>
      </c>
      <c r="I43" s="306" t="n">
        <v>0</v>
      </c>
      <c r="J43" s="306" t="inlineStr">
        <is>
          <t>J</t>
        </is>
      </c>
      <c r="K43" s="392">
        <f>IF(ISNUMBER(E43),IF(ISNUMBER(F43),F43,Instellingen!$B$6)+Instellingen!$B$5,"")</f>
        <v/>
      </c>
      <c r="L43" s="392">
        <f>IFERROR(INDEX(Impregnatie!$B$4:$O$25,MATCH(C43,Impregnatie!$A$4:$A$25,0),MATCH(D43,Impregnatie!$B$3:$O$3,0))*(1+Instellingen!$B$4),"")</f>
        <v/>
      </c>
      <c r="M43" s="392">
        <f>IF(AND(ISNUMBER(E43),ISNUMBER(L43)),E43*L43,0)</f>
        <v/>
      </c>
      <c r="N43" s="392">
        <f>IFERROR(INDEX('Droge kous'!$B$4:$T$33,MATCH(C43,'Droge kous'!$A$4:$A$33,0),MATCH(D43,'Droge kous'!$B$3:$T$3,0)),"")</f>
        <v/>
      </c>
      <c r="O43" s="392">
        <f>IF(AND(ISNUMBER(K43),ISNUMBER(N43)),K43*N43,0)</f>
        <v/>
      </c>
      <c r="P43" s="392">
        <f>IF(ISNUMBER(C43),IFERROR(N(G43)*VLOOKUP(C43,Sundry!$A$4:$G$20,4,TRUE),0),0)</f>
        <v/>
      </c>
      <c r="Q43" s="392">
        <f>IF(ISNUMBER(C43),IFERROR(N(H43)*VLOOKUP(C43,Sundry!$A$4:$G$20,5,TRUE),0),0)</f>
        <v/>
      </c>
      <c r="R43" s="392">
        <f>IF(ISNUMBER(C43),IFERROR(N(I43)*VLOOKUP(C43,Sundry!$A$4:$G$20,3,TRUE),0),0)</f>
        <v/>
      </c>
      <c r="S43" s="392">
        <f>IF(AND(ISNUMBER(C43),ISNUMBER(E43),UPPER(J43)="N",E43&lt;VLOOKUP(C43,Sundry!$A$4:$G$20,7,TRUE)),VLOOKUP(C43,Sundry!$A$4:$G$20,6,TRUE),0)</f>
        <v/>
      </c>
      <c r="T43" s="393">
        <f>M43+O43+P43+Q43+R43+S43</f>
        <v/>
      </c>
    </row>
    <row r="44">
      <c r="A44" s="388" t="n"/>
      <c r="B44" s="388" t="n"/>
      <c r="C44" s="389" t="n"/>
      <c r="D44" s="389" t="n"/>
      <c r="E44" s="390" t="n"/>
      <c r="F44" s="391" t="n"/>
      <c r="G44" s="306" t="n">
        <v>1</v>
      </c>
      <c r="H44" s="306" t="n">
        <v>1</v>
      </c>
      <c r="I44" s="306" t="n">
        <v>0</v>
      </c>
      <c r="J44" s="306" t="inlineStr">
        <is>
          <t>J</t>
        </is>
      </c>
      <c r="K44" s="392">
        <f>IF(ISNUMBER(E44),IF(ISNUMBER(F44),F44,Instellingen!$B$6)+Instellingen!$B$5,"")</f>
        <v/>
      </c>
      <c r="L44" s="392">
        <f>IFERROR(INDEX(Impregnatie!$B$4:$O$25,MATCH(C44,Impregnatie!$A$4:$A$25,0),MATCH(D44,Impregnatie!$B$3:$O$3,0))*(1+Instellingen!$B$4),"")</f>
        <v/>
      </c>
      <c r="M44" s="392">
        <f>IF(AND(ISNUMBER(E44),ISNUMBER(L44)),E44*L44,0)</f>
        <v/>
      </c>
      <c r="N44" s="392">
        <f>IFERROR(INDEX('Droge kous'!$B$4:$T$33,MATCH(C44,'Droge kous'!$A$4:$A$33,0),MATCH(D44,'Droge kous'!$B$3:$T$3,0)),"")</f>
        <v/>
      </c>
      <c r="O44" s="392">
        <f>IF(AND(ISNUMBER(K44),ISNUMBER(N44)),K44*N44,0)</f>
        <v/>
      </c>
      <c r="P44" s="392">
        <f>IF(ISNUMBER(C44),IFERROR(N(G44)*VLOOKUP(C44,Sundry!$A$4:$G$20,4,TRUE),0),0)</f>
        <v/>
      </c>
      <c r="Q44" s="392">
        <f>IF(ISNUMBER(C44),IFERROR(N(H44)*VLOOKUP(C44,Sundry!$A$4:$G$20,5,TRUE),0),0)</f>
        <v/>
      </c>
      <c r="R44" s="392">
        <f>IF(ISNUMBER(C44),IFERROR(N(I44)*VLOOKUP(C44,Sundry!$A$4:$G$20,3,TRUE),0),0)</f>
        <v/>
      </c>
      <c r="S44" s="392">
        <f>IF(AND(ISNUMBER(C44),ISNUMBER(E44),UPPER(J44)="N",E44&lt;VLOOKUP(C44,Sundry!$A$4:$G$20,7,TRUE)),VLOOKUP(C44,Sundry!$A$4:$G$20,6,TRUE),0)</f>
        <v/>
      </c>
      <c r="T44" s="393">
        <f>M44+O44+P44+Q44+R44+S44</f>
        <v/>
      </c>
    </row>
    <row r="45">
      <c r="A45" s="388" t="n"/>
      <c r="B45" s="388" t="n"/>
      <c r="C45" s="389" t="n"/>
      <c r="D45" s="389" t="n"/>
      <c r="E45" s="390" t="n"/>
      <c r="F45" s="391" t="n"/>
      <c r="G45" s="306" t="n">
        <v>1</v>
      </c>
      <c r="H45" s="306" t="n">
        <v>1</v>
      </c>
      <c r="I45" s="306" t="n">
        <v>0</v>
      </c>
      <c r="J45" s="306" t="inlineStr">
        <is>
          <t>J</t>
        </is>
      </c>
      <c r="K45" s="392">
        <f>IF(ISNUMBER(E45),IF(ISNUMBER(F45),F45,Instellingen!$B$6)+Instellingen!$B$5,"")</f>
        <v/>
      </c>
      <c r="L45" s="392">
        <f>IFERROR(INDEX(Impregnatie!$B$4:$O$25,MATCH(C45,Impregnatie!$A$4:$A$25,0),MATCH(D45,Impregnatie!$B$3:$O$3,0))*(1+Instellingen!$B$4),"")</f>
        <v/>
      </c>
      <c r="M45" s="392">
        <f>IF(AND(ISNUMBER(E45),ISNUMBER(L45)),E45*L45,0)</f>
        <v/>
      </c>
      <c r="N45" s="392">
        <f>IFERROR(INDEX('Droge kous'!$B$4:$T$33,MATCH(C45,'Droge kous'!$A$4:$A$33,0),MATCH(D45,'Droge kous'!$B$3:$T$3,0)),"")</f>
        <v/>
      </c>
      <c r="O45" s="392">
        <f>IF(AND(ISNUMBER(K45),ISNUMBER(N45)),K45*N45,0)</f>
        <v/>
      </c>
      <c r="P45" s="392">
        <f>IF(ISNUMBER(C45),IFERROR(N(G45)*VLOOKUP(C45,Sundry!$A$4:$G$20,4,TRUE),0),0)</f>
        <v/>
      </c>
      <c r="Q45" s="392">
        <f>IF(ISNUMBER(C45),IFERROR(N(H45)*VLOOKUP(C45,Sundry!$A$4:$G$20,5,TRUE),0),0)</f>
        <v/>
      </c>
      <c r="R45" s="392">
        <f>IF(ISNUMBER(C45),IFERROR(N(I45)*VLOOKUP(C45,Sundry!$A$4:$G$20,3,TRUE),0),0)</f>
        <v/>
      </c>
      <c r="S45" s="392">
        <f>IF(AND(ISNUMBER(C45),ISNUMBER(E45),UPPER(J45)="N",E45&lt;VLOOKUP(C45,Sundry!$A$4:$G$20,7,TRUE)),VLOOKUP(C45,Sundry!$A$4:$G$20,6,TRUE),0)</f>
        <v/>
      </c>
      <c r="T45" s="393">
        <f>M45+O45+P45+Q45+R45+S45</f>
        <v/>
      </c>
    </row>
    <row r="46">
      <c r="A46" s="388" t="n"/>
      <c r="B46" s="388" t="n"/>
      <c r="C46" s="389" t="n"/>
      <c r="D46" s="389" t="n"/>
      <c r="E46" s="390" t="n"/>
      <c r="F46" s="391" t="n"/>
      <c r="G46" s="306" t="n">
        <v>1</v>
      </c>
      <c r="H46" s="306" t="n">
        <v>1</v>
      </c>
      <c r="I46" s="306" t="n">
        <v>0</v>
      </c>
      <c r="J46" s="306" t="inlineStr">
        <is>
          <t>J</t>
        </is>
      </c>
      <c r="K46" s="392">
        <f>IF(ISNUMBER(E46),IF(ISNUMBER(F46),F46,Instellingen!$B$6)+Instellingen!$B$5,"")</f>
        <v/>
      </c>
      <c r="L46" s="392">
        <f>IFERROR(INDEX(Impregnatie!$B$4:$O$25,MATCH(C46,Impregnatie!$A$4:$A$25,0),MATCH(D46,Impregnatie!$B$3:$O$3,0))*(1+Instellingen!$B$4),"")</f>
        <v/>
      </c>
      <c r="M46" s="392">
        <f>IF(AND(ISNUMBER(E46),ISNUMBER(L46)),E46*L46,0)</f>
        <v/>
      </c>
      <c r="N46" s="392">
        <f>IFERROR(INDEX('Droge kous'!$B$4:$T$33,MATCH(C46,'Droge kous'!$A$4:$A$33,0),MATCH(D46,'Droge kous'!$B$3:$T$3,0)),"")</f>
        <v/>
      </c>
      <c r="O46" s="392">
        <f>IF(AND(ISNUMBER(K46),ISNUMBER(N46)),K46*N46,0)</f>
        <v/>
      </c>
      <c r="P46" s="392">
        <f>IF(ISNUMBER(C46),IFERROR(N(G46)*VLOOKUP(C46,Sundry!$A$4:$G$20,4,TRUE),0),0)</f>
        <v/>
      </c>
      <c r="Q46" s="392">
        <f>IF(ISNUMBER(C46),IFERROR(N(H46)*VLOOKUP(C46,Sundry!$A$4:$G$20,5,TRUE),0),0)</f>
        <v/>
      </c>
      <c r="R46" s="392">
        <f>IF(ISNUMBER(C46),IFERROR(N(I46)*VLOOKUP(C46,Sundry!$A$4:$G$20,3,TRUE),0),0)</f>
        <v/>
      </c>
      <c r="S46" s="392">
        <f>IF(AND(ISNUMBER(C46),ISNUMBER(E46),UPPER(J46)="N",E46&lt;VLOOKUP(C46,Sundry!$A$4:$G$20,7,TRUE)),VLOOKUP(C46,Sundry!$A$4:$G$20,6,TRUE),0)</f>
        <v/>
      </c>
      <c r="T46" s="393">
        <f>M46+O46+P46+Q46+R46+S46</f>
        <v/>
      </c>
    </row>
    <row r="47">
      <c r="A47" s="388" t="n"/>
      <c r="B47" s="388" t="n"/>
      <c r="C47" s="389" t="n"/>
      <c r="D47" s="389" t="n"/>
      <c r="E47" s="390" t="n"/>
      <c r="F47" s="391" t="n"/>
      <c r="G47" s="306" t="n">
        <v>1</v>
      </c>
      <c r="H47" s="306" t="n">
        <v>1</v>
      </c>
      <c r="I47" s="306" t="n">
        <v>0</v>
      </c>
      <c r="J47" s="306" t="inlineStr">
        <is>
          <t>J</t>
        </is>
      </c>
      <c r="K47" s="392">
        <f>IF(ISNUMBER(E47),IF(ISNUMBER(F47),F47,Instellingen!$B$6)+Instellingen!$B$5,"")</f>
        <v/>
      </c>
      <c r="L47" s="392">
        <f>IFERROR(INDEX(Impregnatie!$B$4:$O$25,MATCH(C47,Impregnatie!$A$4:$A$25,0),MATCH(D47,Impregnatie!$B$3:$O$3,0))*(1+Instellingen!$B$4),"")</f>
        <v/>
      </c>
      <c r="M47" s="392">
        <f>IF(AND(ISNUMBER(E47),ISNUMBER(L47)),E47*L47,0)</f>
        <v/>
      </c>
      <c r="N47" s="392">
        <f>IFERROR(INDEX('Droge kous'!$B$4:$T$33,MATCH(C47,'Droge kous'!$A$4:$A$33,0),MATCH(D47,'Droge kous'!$B$3:$T$3,0)),"")</f>
        <v/>
      </c>
      <c r="O47" s="392">
        <f>IF(AND(ISNUMBER(K47),ISNUMBER(N47)),K47*N47,0)</f>
        <v/>
      </c>
      <c r="P47" s="392">
        <f>IF(ISNUMBER(C47),IFERROR(N(G47)*VLOOKUP(C47,Sundry!$A$4:$G$20,4,TRUE),0),0)</f>
        <v/>
      </c>
      <c r="Q47" s="392">
        <f>IF(ISNUMBER(C47),IFERROR(N(H47)*VLOOKUP(C47,Sundry!$A$4:$G$20,5,TRUE),0),0)</f>
        <v/>
      </c>
      <c r="R47" s="392">
        <f>IF(ISNUMBER(C47),IFERROR(N(I47)*VLOOKUP(C47,Sundry!$A$4:$G$20,3,TRUE),0),0)</f>
        <v/>
      </c>
      <c r="S47" s="392">
        <f>IF(AND(ISNUMBER(C47),ISNUMBER(E47),UPPER(J47)="N",E47&lt;VLOOKUP(C47,Sundry!$A$4:$G$20,7,TRUE)),VLOOKUP(C47,Sundry!$A$4:$G$20,6,TRUE),0)</f>
        <v/>
      </c>
      <c r="T47" s="393">
        <f>M47+O47+P47+Q47+R47+S47</f>
        <v/>
      </c>
    </row>
    <row r="48">
      <c r="A48" s="388" t="n"/>
      <c r="B48" s="388" t="n"/>
      <c r="C48" s="389" t="n"/>
      <c r="D48" s="389" t="n"/>
      <c r="E48" s="390" t="n"/>
      <c r="F48" s="391" t="n"/>
      <c r="G48" s="306" t="n">
        <v>1</v>
      </c>
      <c r="H48" s="306" t="n">
        <v>1</v>
      </c>
      <c r="I48" s="306" t="n">
        <v>0</v>
      </c>
      <c r="J48" s="306" t="inlineStr">
        <is>
          <t>J</t>
        </is>
      </c>
      <c r="K48" s="392">
        <f>IF(ISNUMBER(E48),IF(ISNUMBER(F48),F48,Instellingen!$B$6)+Instellingen!$B$5,"")</f>
        <v/>
      </c>
      <c r="L48" s="392">
        <f>IFERROR(INDEX(Impregnatie!$B$4:$O$25,MATCH(C48,Impregnatie!$A$4:$A$25,0),MATCH(D48,Impregnatie!$B$3:$O$3,0))*(1+Instellingen!$B$4),"")</f>
        <v/>
      </c>
      <c r="M48" s="392">
        <f>IF(AND(ISNUMBER(E48),ISNUMBER(L48)),E48*L48,0)</f>
        <v/>
      </c>
      <c r="N48" s="392">
        <f>IFERROR(INDEX('Droge kous'!$B$4:$T$33,MATCH(C48,'Droge kous'!$A$4:$A$33,0),MATCH(D48,'Droge kous'!$B$3:$T$3,0)),"")</f>
        <v/>
      </c>
      <c r="O48" s="392">
        <f>IF(AND(ISNUMBER(K48),ISNUMBER(N48)),K48*N48,0)</f>
        <v/>
      </c>
      <c r="P48" s="392">
        <f>IF(ISNUMBER(C48),IFERROR(N(G48)*VLOOKUP(C48,Sundry!$A$4:$G$20,4,TRUE),0),0)</f>
        <v/>
      </c>
      <c r="Q48" s="392">
        <f>IF(ISNUMBER(C48),IFERROR(N(H48)*VLOOKUP(C48,Sundry!$A$4:$G$20,5,TRUE),0),0)</f>
        <v/>
      </c>
      <c r="R48" s="392">
        <f>IF(ISNUMBER(C48),IFERROR(N(I48)*VLOOKUP(C48,Sundry!$A$4:$G$20,3,TRUE),0),0)</f>
        <v/>
      </c>
      <c r="S48" s="392">
        <f>IF(AND(ISNUMBER(C48),ISNUMBER(E48),UPPER(J48)="N",E48&lt;VLOOKUP(C48,Sundry!$A$4:$G$20,7,TRUE)),VLOOKUP(C48,Sundry!$A$4:$G$20,6,TRUE),0)</f>
        <v/>
      </c>
      <c r="T48" s="393">
        <f>M48+O48+P48+Q48+R48+S48</f>
        <v/>
      </c>
    </row>
    <row r="49">
      <c r="A49" s="388" t="n"/>
      <c r="B49" s="388" t="n"/>
      <c r="C49" s="389" t="n"/>
      <c r="D49" s="389" t="n"/>
      <c r="E49" s="390" t="n"/>
      <c r="F49" s="391" t="n"/>
      <c r="G49" s="306" t="n">
        <v>1</v>
      </c>
      <c r="H49" s="306" t="n">
        <v>1</v>
      </c>
      <c r="I49" s="306" t="n">
        <v>0</v>
      </c>
      <c r="J49" s="306" t="inlineStr">
        <is>
          <t>J</t>
        </is>
      </c>
      <c r="K49" s="392">
        <f>IF(ISNUMBER(E49),IF(ISNUMBER(F49),F49,Instellingen!$B$6)+Instellingen!$B$5,"")</f>
        <v/>
      </c>
      <c r="L49" s="392">
        <f>IFERROR(INDEX(Impregnatie!$B$4:$O$25,MATCH(C49,Impregnatie!$A$4:$A$25,0),MATCH(D49,Impregnatie!$B$3:$O$3,0))*(1+Instellingen!$B$4),"")</f>
        <v/>
      </c>
      <c r="M49" s="392">
        <f>IF(AND(ISNUMBER(E49),ISNUMBER(L49)),E49*L49,0)</f>
        <v/>
      </c>
      <c r="N49" s="392">
        <f>IFERROR(INDEX('Droge kous'!$B$4:$T$33,MATCH(C49,'Droge kous'!$A$4:$A$33,0),MATCH(D49,'Droge kous'!$B$3:$T$3,0)),"")</f>
        <v/>
      </c>
      <c r="O49" s="392">
        <f>IF(AND(ISNUMBER(K49),ISNUMBER(N49)),K49*N49,0)</f>
        <v/>
      </c>
      <c r="P49" s="392">
        <f>IF(ISNUMBER(C49),IFERROR(N(G49)*VLOOKUP(C49,Sundry!$A$4:$G$20,4,TRUE),0),0)</f>
        <v/>
      </c>
      <c r="Q49" s="392">
        <f>IF(ISNUMBER(C49),IFERROR(N(H49)*VLOOKUP(C49,Sundry!$A$4:$G$20,5,TRUE),0),0)</f>
        <v/>
      </c>
      <c r="R49" s="392">
        <f>IF(ISNUMBER(C49),IFERROR(N(I49)*VLOOKUP(C49,Sundry!$A$4:$G$20,3,TRUE),0),0)</f>
        <v/>
      </c>
      <c r="S49" s="392">
        <f>IF(AND(ISNUMBER(C49),ISNUMBER(E49),UPPER(J49)="N",E49&lt;VLOOKUP(C49,Sundry!$A$4:$G$20,7,TRUE)),VLOOKUP(C49,Sundry!$A$4:$G$20,6,TRUE),0)</f>
        <v/>
      </c>
      <c r="T49" s="393">
        <f>M49+O49+P49+Q49+R49+S49</f>
        <v/>
      </c>
    </row>
    <row r="50">
      <c r="A50" s="388" t="n"/>
      <c r="B50" s="388" t="n"/>
      <c r="C50" s="389" t="n"/>
      <c r="D50" s="389" t="n"/>
      <c r="E50" s="390" t="n"/>
      <c r="F50" s="391" t="n"/>
      <c r="G50" s="306" t="n">
        <v>1</v>
      </c>
      <c r="H50" s="306" t="n">
        <v>1</v>
      </c>
      <c r="I50" s="306" t="n">
        <v>0</v>
      </c>
      <c r="J50" s="306" t="inlineStr">
        <is>
          <t>J</t>
        </is>
      </c>
      <c r="K50" s="392">
        <f>IF(ISNUMBER(E50),IF(ISNUMBER(F50),F50,Instellingen!$B$6)+Instellingen!$B$5,"")</f>
        <v/>
      </c>
      <c r="L50" s="392">
        <f>IFERROR(INDEX(Impregnatie!$B$4:$O$25,MATCH(C50,Impregnatie!$A$4:$A$25,0),MATCH(D50,Impregnatie!$B$3:$O$3,0))*(1+Instellingen!$B$4),"")</f>
        <v/>
      </c>
      <c r="M50" s="392">
        <f>IF(AND(ISNUMBER(E50),ISNUMBER(L50)),E50*L50,0)</f>
        <v/>
      </c>
      <c r="N50" s="392">
        <f>IFERROR(INDEX('Droge kous'!$B$4:$T$33,MATCH(C50,'Droge kous'!$A$4:$A$33,0),MATCH(D50,'Droge kous'!$B$3:$T$3,0)),"")</f>
        <v/>
      </c>
      <c r="O50" s="392">
        <f>IF(AND(ISNUMBER(K50),ISNUMBER(N50)),K50*N50,0)</f>
        <v/>
      </c>
      <c r="P50" s="392">
        <f>IF(ISNUMBER(C50),IFERROR(N(G50)*VLOOKUP(C50,Sundry!$A$4:$G$20,4,TRUE),0),0)</f>
        <v/>
      </c>
      <c r="Q50" s="392">
        <f>IF(ISNUMBER(C50),IFERROR(N(H50)*VLOOKUP(C50,Sundry!$A$4:$G$20,5,TRUE),0),0)</f>
        <v/>
      </c>
      <c r="R50" s="392">
        <f>IF(ISNUMBER(C50),IFERROR(N(I50)*VLOOKUP(C50,Sundry!$A$4:$G$20,3,TRUE),0),0)</f>
        <v/>
      </c>
      <c r="S50" s="392">
        <f>IF(AND(ISNUMBER(C50),ISNUMBER(E50),UPPER(J50)="N",E50&lt;VLOOKUP(C50,Sundry!$A$4:$G$20,7,TRUE)),VLOOKUP(C50,Sundry!$A$4:$G$20,6,TRUE),0)</f>
        <v/>
      </c>
      <c r="T50" s="393">
        <f>M50+O50+P50+Q50+R50+S50</f>
        <v/>
      </c>
    </row>
    <row r="51">
      <c r="A51" s="388" t="n"/>
      <c r="B51" s="388" t="n"/>
      <c r="C51" s="389" t="n"/>
      <c r="D51" s="389" t="n"/>
      <c r="E51" s="390" t="n"/>
      <c r="F51" s="391" t="n"/>
      <c r="G51" s="306" t="n">
        <v>1</v>
      </c>
      <c r="H51" s="306" t="n">
        <v>1</v>
      </c>
      <c r="I51" s="306" t="n">
        <v>0</v>
      </c>
      <c r="J51" s="306" t="inlineStr">
        <is>
          <t>J</t>
        </is>
      </c>
      <c r="K51" s="392">
        <f>IF(ISNUMBER(E51),IF(ISNUMBER(F51),F51,Instellingen!$B$6)+Instellingen!$B$5,"")</f>
        <v/>
      </c>
      <c r="L51" s="392">
        <f>IFERROR(INDEX(Impregnatie!$B$4:$O$25,MATCH(C51,Impregnatie!$A$4:$A$25,0),MATCH(D51,Impregnatie!$B$3:$O$3,0))*(1+Instellingen!$B$4),"")</f>
        <v/>
      </c>
      <c r="M51" s="392">
        <f>IF(AND(ISNUMBER(E51),ISNUMBER(L51)),E51*L51,0)</f>
        <v/>
      </c>
      <c r="N51" s="392">
        <f>IFERROR(INDEX('Droge kous'!$B$4:$T$33,MATCH(C51,'Droge kous'!$A$4:$A$33,0),MATCH(D51,'Droge kous'!$B$3:$T$3,0)),"")</f>
        <v/>
      </c>
      <c r="O51" s="392">
        <f>IF(AND(ISNUMBER(K51),ISNUMBER(N51)),K51*N51,0)</f>
        <v/>
      </c>
      <c r="P51" s="392">
        <f>IF(ISNUMBER(C51),IFERROR(N(G51)*VLOOKUP(C51,Sundry!$A$4:$G$20,4,TRUE),0),0)</f>
        <v/>
      </c>
      <c r="Q51" s="392">
        <f>IF(ISNUMBER(C51),IFERROR(N(H51)*VLOOKUP(C51,Sundry!$A$4:$G$20,5,TRUE),0),0)</f>
        <v/>
      </c>
      <c r="R51" s="392">
        <f>IF(ISNUMBER(C51),IFERROR(N(I51)*VLOOKUP(C51,Sundry!$A$4:$G$20,3,TRUE),0),0)</f>
        <v/>
      </c>
      <c r="S51" s="392">
        <f>IF(AND(ISNUMBER(C51),ISNUMBER(E51),UPPER(J51)="N",E51&lt;VLOOKUP(C51,Sundry!$A$4:$G$20,7,TRUE)),VLOOKUP(C51,Sundry!$A$4:$G$20,6,TRUE),0)</f>
        <v/>
      </c>
      <c r="T51" s="393">
        <f>M51+O51+P51+Q51+R51+S51</f>
        <v/>
      </c>
    </row>
    <row r="52">
      <c r="A52" s="388" t="n"/>
      <c r="B52" s="388" t="n"/>
      <c r="C52" s="389" t="n"/>
      <c r="D52" s="389" t="n"/>
      <c r="E52" s="390" t="n"/>
      <c r="F52" s="391" t="n"/>
      <c r="G52" s="306" t="n">
        <v>1</v>
      </c>
      <c r="H52" s="306" t="n">
        <v>1</v>
      </c>
      <c r="I52" s="306" t="n">
        <v>0</v>
      </c>
      <c r="J52" s="306" t="inlineStr">
        <is>
          <t>J</t>
        </is>
      </c>
      <c r="K52" s="392">
        <f>IF(ISNUMBER(E52),IF(ISNUMBER(F52),F52,Instellingen!$B$6)+Instellingen!$B$5,"")</f>
        <v/>
      </c>
      <c r="L52" s="392">
        <f>IFERROR(INDEX(Impregnatie!$B$4:$O$25,MATCH(C52,Impregnatie!$A$4:$A$25,0),MATCH(D52,Impregnatie!$B$3:$O$3,0))*(1+Instellingen!$B$4),"")</f>
        <v/>
      </c>
      <c r="M52" s="392">
        <f>IF(AND(ISNUMBER(E52),ISNUMBER(L52)),E52*L52,0)</f>
        <v/>
      </c>
      <c r="N52" s="392">
        <f>IFERROR(INDEX('Droge kous'!$B$4:$T$33,MATCH(C52,'Droge kous'!$A$4:$A$33,0),MATCH(D52,'Droge kous'!$B$3:$T$3,0)),"")</f>
        <v/>
      </c>
      <c r="O52" s="392">
        <f>IF(AND(ISNUMBER(K52),ISNUMBER(N52)),K52*N52,0)</f>
        <v/>
      </c>
      <c r="P52" s="392">
        <f>IF(ISNUMBER(C52),IFERROR(N(G52)*VLOOKUP(C52,Sundry!$A$4:$G$20,4,TRUE),0),0)</f>
        <v/>
      </c>
      <c r="Q52" s="392">
        <f>IF(ISNUMBER(C52),IFERROR(N(H52)*VLOOKUP(C52,Sundry!$A$4:$G$20,5,TRUE),0),0)</f>
        <v/>
      </c>
      <c r="R52" s="392">
        <f>IF(ISNUMBER(C52),IFERROR(N(I52)*VLOOKUP(C52,Sundry!$A$4:$G$20,3,TRUE),0),0)</f>
        <v/>
      </c>
      <c r="S52" s="392">
        <f>IF(AND(ISNUMBER(C52),ISNUMBER(E52),UPPER(J52)="N",E52&lt;VLOOKUP(C52,Sundry!$A$4:$G$20,7,TRUE)),VLOOKUP(C52,Sundry!$A$4:$G$20,6,TRUE),0)</f>
        <v/>
      </c>
      <c r="T52" s="393">
        <f>M52+O52+P52+Q52+R52+S52</f>
        <v/>
      </c>
    </row>
    <row r="53">
      <c r="A53" s="388" t="n"/>
      <c r="B53" s="388" t="n"/>
      <c r="C53" s="389" t="n"/>
      <c r="D53" s="389" t="n"/>
      <c r="E53" s="390" t="n"/>
      <c r="F53" s="391" t="n"/>
      <c r="G53" s="306" t="n">
        <v>1</v>
      </c>
      <c r="H53" s="306" t="n">
        <v>1</v>
      </c>
      <c r="I53" s="306" t="n">
        <v>0</v>
      </c>
      <c r="J53" s="306" t="inlineStr">
        <is>
          <t>J</t>
        </is>
      </c>
      <c r="K53" s="392">
        <f>IF(ISNUMBER(E53),IF(ISNUMBER(F53),F53,Instellingen!$B$6)+Instellingen!$B$5,"")</f>
        <v/>
      </c>
      <c r="L53" s="392">
        <f>IFERROR(INDEX(Impregnatie!$B$4:$O$25,MATCH(C53,Impregnatie!$A$4:$A$25,0),MATCH(D53,Impregnatie!$B$3:$O$3,0))*(1+Instellingen!$B$4),"")</f>
        <v/>
      </c>
      <c r="M53" s="392">
        <f>IF(AND(ISNUMBER(E53),ISNUMBER(L53)),E53*L53,0)</f>
        <v/>
      </c>
      <c r="N53" s="392">
        <f>IFERROR(INDEX('Droge kous'!$B$4:$T$33,MATCH(C53,'Droge kous'!$A$4:$A$33,0),MATCH(D53,'Droge kous'!$B$3:$T$3,0)),"")</f>
        <v/>
      </c>
      <c r="O53" s="392">
        <f>IF(AND(ISNUMBER(K53),ISNUMBER(N53)),K53*N53,0)</f>
        <v/>
      </c>
      <c r="P53" s="392">
        <f>IF(ISNUMBER(C53),IFERROR(N(G53)*VLOOKUP(C53,Sundry!$A$4:$G$20,4,TRUE),0),0)</f>
        <v/>
      </c>
      <c r="Q53" s="392">
        <f>IF(ISNUMBER(C53),IFERROR(N(H53)*VLOOKUP(C53,Sundry!$A$4:$G$20,5,TRUE),0),0)</f>
        <v/>
      </c>
      <c r="R53" s="392">
        <f>IF(ISNUMBER(C53),IFERROR(N(I53)*VLOOKUP(C53,Sundry!$A$4:$G$20,3,TRUE),0),0)</f>
        <v/>
      </c>
      <c r="S53" s="392">
        <f>IF(AND(ISNUMBER(C53),ISNUMBER(E53),UPPER(J53)="N",E53&lt;VLOOKUP(C53,Sundry!$A$4:$G$20,7,TRUE)),VLOOKUP(C53,Sundry!$A$4:$G$20,6,TRUE),0)</f>
        <v/>
      </c>
      <c r="T53" s="393">
        <f>M53+O53+P53+Q53+R53+S53</f>
        <v/>
      </c>
    </row>
    <row r="54">
      <c r="A54" s="388" t="n"/>
      <c r="B54" s="388" t="n"/>
      <c r="C54" s="389" t="n"/>
      <c r="D54" s="389" t="n"/>
      <c r="E54" s="390" t="n"/>
      <c r="F54" s="391" t="n"/>
      <c r="G54" s="306" t="n">
        <v>1</v>
      </c>
      <c r="H54" s="306" t="n">
        <v>1</v>
      </c>
      <c r="I54" s="306" t="n">
        <v>0</v>
      </c>
      <c r="J54" s="306" t="inlineStr">
        <is>
          <t>J</t>
        </is>
      </c>
      <c r="K54" s="392">
        <f>IF(ISNUMBER(E54),IF(ISNUMBER(F54),F54,Instellingen!$B$6)+Instellingen!$B$5,"")</f>
        <v/>
      </c>
      <c r="L54" s="392">
        <f>IFERROR(INDEX(Impregnatie!$B$4:$O$25,MATCH(C54,Impregnatie!$A$4:$A$25,0),MATCH(D54,Impregnatie!$B$3:$O$3,0))*(1+Instellingen!$B$4),"")</f>
        <v/>
      </c>
      <c r="M54" s="392">
        <f>IF(AND(ISNUMBER(E54),ISNUMBER(L54)),E54*L54,0)</f>
        <v/>
      </c>
      <c r="N54" s="392">
        <f>IFERROR(INDEX('Droge kous'!$B$4:$T$33,MATCH(C54,'Droge kous'!$A$4:$A$33,0),MATCH(D54,'Droge kous'!$B$3:$T$3,0)),"")</f>
        <v/>
      </c>
      <c r="O54" s="392">
        <f>IF(AND(ISNUMBER(K54),ISNUMBER(N54)),K54*N54,0)</f>
        <v/>
      </c>
      <c r="P54" s="392">
        <f>IF(ISNUMBER(C54),IFERROR(N(G54)*VLOOKUP(C54,Sundry!$A$4:$G$20,4,TRUE),0),0)</f>
        <v/>
      </c>
      <c r="Q54" s="392">
        <f>IF(ISNUMBER(C54),IFERROR(N(H54)*VLOOKUP(C54,Sundry!$A$4:$G$20,5,TRUE),0),0)</f>
        <v/>
      </c>
      <c r="R54" s="392">
        <f>IF(ISNUMBER(C54),IFERROR(N(I54)*VLOOKUP(C54,Sundry!$A$4:$G$20,3,TRUE),0),0)</f>
        <v/>
      </c>
      <c r="S54" s="392">
        <f>IF(AND(ISNUMBER(C54),ISNUMBER(E54),UPPER(J54)="N",E54&lt;VLOOKUP(C54,Sundry!$A$4:$G$20,7,TRUE)),VLOOKUP(C54,Sundry!$A$4:$G$20,6,TRUE),0)</f>
        <v/>
      </c>
      <c r="T54" s="393">
        <f>M54+O54+P54+Q54+R54+S54</f>
        <v/>
      </c>
    </row>
    <row r="55">
      <c r="A55" s="388" t="n"/>
      <c r="B55" s="388" t="n"/>
      <c r="C55" s="389" t="n"/>
      <c r="D55" s="389" t="n"/>
      <c r="E55" s="390" t="n"/>
      <c r="F55" s="391" t="n"/>
      <c r="G55" s="306" t="n">
        <v>1</v>
      </c>
      <c r="H55" s="306" t="n">
        <v>1</v>
      </c>
      <c r="I55" s="306" t="n">
        <v>0</v>
      </c>
      <c r="J55" s="306" t="inlineStr">
        <is>
          <t>J</t>
        </is>
      </c>
      <c r="K55" s="392">
        <f>IF(ISNUMBER(E55),IF(ISNUMBER(F55),F55,Instellingen!$B$6)+Instellingen!$B$5,"")</f>
        <v/>
      </c>
      <c r="L55" s="392">
        <f>IFERROR(INDEX(Impregnatie!$B$4:$O$25,MATCH(C55,Impregnatie!$A$4:$A$25,0),MATCH(D55,Impregnatie!$B$3:$O$3,0))*(1+Instellingen!$B$4),"")</f>
        <v/>
      </c>
      <c r="M55" s="392">
        <f>IF(AND(ISNUMBER(E55),ISNUMBER(L55)),E55*L55,0)</f>
        <v/>
      </c>
      <c r="N55" s="392">
        <f>IFERROR(INDEX('Droge kous'!$B$4:$T$33,MATCH(C55,'Droge kous'!$A$4:$A$33,0),MATCH(D55,'Droge kous'!$B$3:$T$3,0)),"")</f>
        <v/>
      </c>
      <c r="O55" s="392">
        <f>IF(AND(ISNUMBER(K55),ISNUMBER(N55)),K55*N55,0)</f>
        <v/>
      </c>
      <c r="P55" s="392">
        <f>IF(ISNUMBER(C55),IFERROR(N(G55)*VLOOKUP(C55,Sundry!$A$4:$G$20,4,TRUE),0),0)</f>
        <v/>
      </c>
      <c r="Q55" s="392">
        <f>IF(ISNUMBER(C55),IFERROR(N(H55)*VLOOKUP(C55,Sundry!$A$4:$G$20,5,TRUE),0),0)</f>
        <v/>
      </c>
      <c r="R55" s="392">
        <f>IF(ISNUMBER(C55),IFERROR(N(I55)*VLOOKUP(C55,Sundry!$A$4:$G$20,3,TRUE),0),0)</f>
        <v/>
      </c>
      <c r="S55" s="392">
        <f>IF(AND(ISNUMBER(C55),ISNUMBER(E55),UPPER(J55)="N",E55&lt;VLOOKUP(C55,Sundry!$A$4:$G$20,7,TRUE)),VLOOKUP(C55,Sundry!$A$4:$G$20,6,TRUE),0)</f>
        <v/>
      </c>
      <c r="T55" s="393">
        <f>M55+O55+P55+Q55+R55+S55</f>
        <v/>
      </c>
    </row>
    <row r="56">
      <c r="A56" s="388" t="n"/>
      <c r="B56" s="388" t="n"/>
      <c r="C56" s="389" t="n"/>
      <c r="D56" s="389" t="n"/>
      <c r="E56" s="390" t="n"/>
      <c r="F56" s="391" t="n"/>
      <c r="G56" s="306" t="n">
        <v>1</v>
      </c>
      <c r="H56" s="306" t="n">
        <v>1</v>
      </c>
      <c r="I56" s="306" t="n">
        <v>0</v>
      </c>
      <c r="J56" s="306" t="inlineStr">
        <is>
          <t>J</t>
        </is>
      </c>
      <c r="K56" s="392">
        <f>IF(ISNUMBER(E56),IF(ISNUMBER(F56),F56,Instellingen!$B$6)+Instellingen!$B$5,"")</f>
        <v/>
      </c>
      <c r="L56" s="392">
        <f>IFERROR(INDEX(Impregnatie!$B$4:$O$25,MATCH(C56,Impregnatie!$A$4:$A$25,0),MATCH(D56,Impregnatie!$B$3:$O$3,0))*(1+Instellingen!$B$4),"")</f>
        <v/>
      </c>
      <c r="M56" s="392">
        <f>IF(AND(ISNUMBER(E56),ISNUMBER(L56)),E56*L56,0)</f>
        <v/>
      </c>
      <c r="N56" s="392">
        <f>IFERROR(INDEX('Droge kous'!$B$4:$T$33,MATCH(C56,'Droge kous'!$A$4:$A$33,0),MATCH(D56,'Droge kous'!$B$3:$T$3,0)),"")</f>
        <v/>
      </c>
      <c r="O56" s="392">
        <f>IF(AND(ISNUMBER(K56),ISNUMBER(N56)),K56*N56,0)</f>
        <v/>
      </c>
      <c r="P56" s="392">
        <f>IF(ISNUMBER(C56),IFERROR(N(G56)*VLOOKUP(C56,Sundry!$A$4:$G$20,4,TRUE),0),0)</f>
        <v/>
      </c>
      <c r="Q56" s="392">
        <f>IF(ISNUMBER(C56),IFERROR(N(H56)*VLOOKUP(C56,Sundry!$A$4:$G$20,5,TRUE),0),0)</f>
        <v/>
      </c>
      <c r="R56" s="392">
        <f>IF(ISNUMBER(C56),IFERROR(N(I56)*VLOOKUP(C56,Sundry!$A$4:$G$20,3,TRUE),0),0)</f>
        <v/>
      </c>
      <c r="S56" s="392">
        <f>IF(AND(ISNUMBER(C56),ISNUMBER(E56),UPPER(J56)="N",E56&lt;VLOOKUP(C56,Sundry!$A$4:$G$20,7,TRUE)),VLOOKUP(C56,Sundry!$A$4:$G$20,6,TRUE),0)</f>
        <v/>
      </c>
      <c r="T56" s="393">
        <f>M56+O56+P56+Q56+R56+S56</f>
        <v/>
      </c>
    </row>
    <row r="57">
      <c r="A57" s="388" t="n"/>
      <c r="B57" s="388" t="n"/>
      <c r="C57" s="389" t="n"/>
      <c r="D57" s="389" t="n"/>
      <c r="E57" s="390" t="n"/>
      <c r="F57" s="391" t="n"/>
      <c r="G57" s="306" t="n">
        <v>1</v>
      </c>
      <c r="H57" s="306" t="n">
        <v>1</v>
      </c>
      <c r="I57" s="306" t="n">
        <v>0</v>
      </c>
      <c r="J57" s="306" t="inlineStr">
        <is>
          <t>J</t>
        </is>
      </c>
      <c r="K57" s="392">
        <f>IF(ISNUMBER(E57),IF(ISNUMBER(F57),F57,Instellingen!$B$6)+Instellingen!$B$5,"")</f>
        <v/>
      </c>
      <c r="L57" s="392">
        <f>IFERROR(INDEX(Impregnatie!$B$4:$O$25,MATCH(C57,Impregnatie!$A$4:$A$25,0),MATCH(D57,Impregnatie!$B$3:$O$3,0))*(1+Instellingen!$B$4),"")</f>
        <v/>
      </c>
      <c r="M57" s="392">
        <f>IF(AND(ISNUMBER(E57),ISNUMBER(L57)),E57*L57,0)</f>
        <v/>
      </c>
      <c r="N57" s="392">
        <f>IFERROR(INDEX('Droge kous'!$B$4:$T$33,MATCH(C57,'Droge kous'!$A$4:$A$33,0),MATCH(D57,'Droge kous'!$B$3:$T$3,0)),"")</f>
        <v/>
      </c>
      <c r="O57" s="392">
        <f>IF(AND(ISNUMBER(K57),ISNUMBER(N57)),K57*N57,0)</f>
        <v/>
      </c>
      <c r="P57" s="392">
        <f>IF(ISNUMBER(C57),IFERROR(N(G57)*VLOOKUP(C57,Sundry!$A$4:$G$20,4,TRUE),0),0)</f>
        <v/>
      </c>
      <c r="Q57" s="392">
        <f>IF(ISNUMBER(C57),IFERROR(N(H57)*VLOOKUP(C57,Sundry!$A$4:$G$20,5,TRUE),0),0)</f>
        <v/>
      </c>
      <c r="R57" s="392">
        <f>IF(ISNUMBER(C57),IFERROR(N(I57)*VLOOKUP(C57,Sundry!$A$4:$G$20,3,TRUE),0),0)</f>
        <v/>
      </c>
      <c r="S57" s="392">
        <f>IF(AND(ISNUMBER(C57),ISNUMBER(E57),UPPER(J57)="N",E57&lt;VLOOKUP(C57,Sundry!$A$4:$G$20,7,TRUE)),VLOOKUP(C57,Sundry!$A$4:$G$20,6,TRUE),0)</f>
        <v/>
      </c>
      <c r="T57" s="393">
        <f>M57+O57+P57+Q57+R57+S57</f>
        <v/>
      </c>
    </row>
    <row r="58">
      <c r="A58" s="388" t="n"/>
      <c r="B58" s="388" t="n"/>
      <c r="C58" s="389" t="n"/>
      <c r="D58" s="389" t="n"/>
      <c r="E58" s="390" t="n"/>
      <c r="F58" s="391" t="n"/>
      <c r="G58" s="306" t="n">
        <v>1</v>
      </c>
      <c r="H58" s="306" t="n">
        <v>1</v>
      </c>
      <c r="I58" s="306" t="n">
        <v>0</v>
      </c>
      <c r="J58" s="306" t="inlineStr">
        <is>
          <t>J</t>
        </is>
      </c>
      <c r="K58" s="392">
        <f>IF(ISNUMBER(E58),IF(ISNUMBER(F58),F58,Instellingen!$B$6)+Instellingen!$B$5,"")</f>
        <v/>
      </c>
      <c r="L58" s="392">
        <f>IFERROR(INDEX(Impregnatie!$B$4:$O$25,MATCH(C58,Impregnatie!$A$4:$A$25,0),MATCH(D58,Impregnatie!$B$3:$O$3,0))*(1+Instellingen!$B$4),"")</f>
        <v/>
      </c>
      <c r="M58" s="392">
        <f>IF(AND(ISNUMBER(E58),ISNUMBER(L58)),E58*L58,0)</f>
        <v/>
      </c>
      <c r="N58" s="392">
        <f>IFERROR(INDEX('Droge kous'!$B$4:$T$33,MATCH(C58,'Droge kous'!$A$4:$A$33,0),MATCH(D58,'Droge kous'!$B$3:$T$3,0)),"")</f>
        <v/>
      </c>
      <c r="O58" s="392">
        <f>IF(AND(ISNUMBER(K58),ISNUMBER(N58)),K58*N58,0)</f>
        <v/>
      </c>
      <c r="P58" s="392">
        <f>IF(ISNUMBER(C58),IFERROR(N(G58)*VLOOKUP(C58,Sundry!$A$4:$G$20,4,TRUE),0),0)</f>
        <v/>
      </c>
      <c r="Q58" s="392">
        <f>IF(ISNUMBER(C58),IFERROR(N(H58)*VLOOKUP(C58,Sundry!$A$4:$G$20,5,TRUE),0),0)</f>
        <v/>
      </c>
      <c r="R58" s="392">
        <f>IF(ISNUMBER(C58),IFERROR(N(I58)*VLOOKUP(C58,Sundry!$A$4:$G$20,3,TRUE),0),0)</f>
        <v/>
      </c>
      <c r="S58" s="392">
        <f>IF(AND(ISNUMBER(C58),ISNUMBER(E58),UPPER(J58)="N",E58&lt;VLOOKUP(C58,Sundry!$A$4:$G$20,7,TRUE)),VLOOKUP(C58,Sundry!$A$4:$G$20,6,TRUE),0)</f>
        <v/>
      </c>
      <c r="T58" s="393">
        <f>M58+O58+P58+Q58+R58+S58</f>
        <v/>
      </c>
    </row>
    <row r="59">
      <c r="A59" s="388" t="n"/>
      <c r="B59" s="388" t="n"/>
      <c r="C59" s="389" t="n"/>
      <c r="D59" s="389" t="n"/>
      <c r="E59" s="390" t="n"/>
      <c r="F59" s="391" t="n"/>
      <c r="G59" s="306" t="n">
        <v>1</v>
      </c>
      <c r="H59" s="306" t="n">
        <v>1</v>
      </c>
      <c r="I59" s="306" t="n">
        <v>0</v>
      </c>
      <c r="J59" s="306" t="inlineStr">
        <is>
          <t>J</t>
        </is>
      </c>
      <c r="K59" s="392">
        <f>IF(ISNUMBER(E59),IF(ISNUMBER(F59),F59,Instellingen!$B$6)+Instellingen!$B$5,"")</f>
        <v/>
      </c>
      <c r="L59" s="392">
        <f>IFERROR(INDEX(Impregnatie!$B$4:$O$25,MATCH(C59,Impregnatie!$A$4:$A$25,0),MATCH(D59,Impregnatie!$B$3:$O$3,0))*(1+Instellingen!$B$4),"")</f>
        <v/>
      </c>
      <c r="M59" s="392">
        <f>IF(AND(ISNUMBER(E59),ISNUMBER(L59)),E59*L59,0)</f>
        <v/>
      </c>
      <c r="N59" s="392">
        <f>IFERROR(INDEX('Droge kous'!$B$4:$T$33,MATCH(C59,'Droge kous'!$A$4:$A$33,0),MATCH(D59,'Droge kous'!$B$3:$T$3,0)),"")</f>
        <v/>
      </c>
      <c r="O59" s="392">
        <f>IF(AND(ISNUMBER(K59),ISNUMBER(N59)),K59*N59,0)</f>
        <v/>
      </c>
      <c r="P59" s="392">
        <f>IF(ISNUMBER(C59),IFERROR(N(G59)*VLOOKUP(C59,Sundry!$A$4:$G$20,4,TRUE),0),0)</f>
        <v/>
      </c>
      <c r="Q59" s="392">
        <f>IF(ISNUMBER(C59),IFERROR(N(H59)*VLOOKUP(C59,Sundry!$A$4:$G$20,5,TRUE),0),0)</f>
        <v/>
      </c>
      <c r="R59" s="392">
        <f>IF(ISNUMBER(C59),IFERROR(N(I59)*VLOOKUP(C59,Sundry!$A$4:$G$20,3,TRUE),0),0)</f>
        <v/>
      </c>
      <c r="S59" s="392">
        <f>IF(AND(ISNUMBER(C59),ISNUMBER(E59),UPPER(J59)="N",E59&lt;VLOOKUP(C59,Sundry!$A$4:$G$20,7,TRUE)),VLOOKUP(C59,Sundry!$A$4:$G$20,6,TRUE),0)</f>
        <v/>
      </c>
      <c r="T59" s="393">
        <f>M59+O59+P59+Q59+R59+S59</f>
        <v/>
      </c>
    </row>
    <row r="60">
      <c r="A60" s="388" t="n"/>
      <c r="B60" s="388" t="n"/>
      <c r="C60" s="389" t="n"/>
      <c r="D60" s="389" t="n"/>
      <c r="E60" s="390" t="n"/>
      <c r="F60" s="391" t="n"/>
      <c r="G60" s="306" t="n">
        <v>1</v>
      </c>
      <c r="H60" s="306" t="n">
        <v>1</v>
      </c>
      <c r="I60" s="306" t="n">
        <v>0</v>
      </c>
      <c r="J60" s="306" t="inlineStr">
        <is>
          <t>J</t>
        </is>
      </c>
      <c r="K60" s="392">
        <f>IF(ISNUMBER(E60),IF(ISNUMBER(F60),F60,Instellingen!$B$6)+Instellingen!$B$5,"")</f>
        <v/>
      </c>
      <c r="L60" s="392">
        <f>IFERROR(INDEX(Impregnatie!$B$4:$O$25,MATCH(C60,Impregnatie!$A$4:$A$25,0),MATCH(D60,Impregnatie!$B$3:$O$3,0))*(1+Instellingen!$B$4),"")</f>
        <v/>
      </c>
      <c r="M60" s="392">
        <f>IF(AND(ISNUMBER(E60),ISNUMBER(L60)),E60*L60,0)</f>
        <v/>
      </c>
      <c r="N60" s="392">
        <f>IFERROR(INDEX('Droge kous'!$B$4:$T$33,MATCH(C60,'Droge kous'!$A$4:$A$33,0),MATCH(D60,'Droge kous'!$B$3:$T$3,0)),"")</f>
        <v/>
      </c>
      <c r="O60" s="392">
        <f>IF(AND(ISNUMBER(K60),ISNUMBER(N60)),K60*N60,0)</f>
        <v/>
      </c>
      <c r="P60" s="392">
        <f>IF(ISNUMBER(C60),IFERROR(N(G60)*VLOOKUP(C60,Sundry!$A$4:$G$20,4,TRUE),0),0)</f>
        <v/>
      </c>
      <c r="Q60" s="392">
        <f>IF(ISNUMBER(C60),IFERROR(N(H60)*VLOOKUP(C60,Sundry!$A$4:$G$20,5,TRUE),0),0)</f>
        <v/>
      </c>
      <c r="R60" s="392">
        <f>IF(ISNUMBER(C60),IFERROR(N(I60)*VLOOKUP(C60,Sundry!$A$4:$G$20,3,TRUE),0),0)</f>
        <v/>
      </c>
      <c r="S60" s="392">
        <f>IF(AND(ISNUMBER(C60),ISNUMBER(E60),UPPER(J60)="N",E60&lt;VLOOKUP(C60,Sundry!$A$4:$G$20,7,TRUE)),VLOOKUP(C60,Sundry!$A$4:$G$20,6,TRUE),0)</f>
        <v/>
      </c>
      <c r="T60" s="393">
        <f>M60+O60+P60+Q60+R60+S60</f>
        <v/>
      </c>
    </row>
    <row r="61">
      <c r="A61" s="388" t="n"/>
      <c r="B61" s="388" t="n"/>
      <c r="C61" s="389" t="n"/>
      <c r="D61" s="389" t="n"/>
      <c r="E61" s="390" t="n"/>
      <c r="F61" s="391" t="n"/>
      <c r="G61" s="306" t="n">
        <v>1</v>
      </c>
      <c r="H61" s="306" t="n">
        <v>1</v>
      </c>
      <c r="I61" s="306" t="n">
        <v>0</v>
      </c>
      <c r="J61" s="306" t="inlineStr">
        <is>
          <t>J</t>
        </is>
      </c>
      <c r="K61" s="392">
        <f>IF(ISNUMBER(E61),IF(ISNUMBER(F61),F61,Instellingen!$B$6)+Instellingen!$B$5,"")</f>
        <v/>
      </c>
      <c r="L61" s="392">
        <f>IFERROR(INDEX(Impregnatie!$B$4:$O$25,MATCH(C61,Impregnatie!$A$4:$A$25,0),MATCH(D61,Impregnatie!$B$3:$O$3,0))*(1+Instellingen!$B$4),"")</f>
        <v/>
      </c>
      <c r="M61" s="392">
        <f>IF(AND(ISNUMBER(E61),ISNUMBER(L61)),E61*L61,0)</f>
        <v/>
      </c>
      <c r="N61" s="392">
        <f>IFERROR(INDEX('Droge kous'!$B$4:$T$33,MATCH(C61,'Droge kous'!$A$4:$A$33,0),MATCH(D61,'Droge kous'!$B$3:$T$3,0)),"")</f>
        <v/>
      </c>
      <c r="O61" s="392">
        <f>IF(AND(ISNUMBER(K61),ISNUMBER(N61)),K61*N61,0)</f>
        <v/>
      </c>
      <c r="P61" s="392">
        <f>IF(ISNUMBER(C61),IFERROR(N(G61)*VLOOKUP(C61,Sundry!$A$4:$G$20,4,TRUE),0),0)</f>
        <v/>
      </c>
      <c r="Q61" s="392">
        <f>IF(ISNUMBER(C61),IFERROR(N(H61)*VLOOKUP(C61,Sundry!$A$4:$G$20,5,TRUE),0),0)</f>
        <v/>
      </c>
      <c r="R61" s="392">
        <f>IF(ISNUMBER(C61),IFERROR(N(I61)*VLOOKUP(C61,Sundry!$A$4:$G$20,3,TRUE),0),0)</f>
        <v/>
      </c>
      <c r="S61" s="392">
        <f>IF(AND(ISNUMBER(C61),ISNUMBER(E61),UPPER(J61)="N",E61&lt;VLOOKUP(C61,Sundry!$A$4:$G$20,7,TRUE)),VLOOKUP(C61,Sundry!$A$4:$G$20,6,TRUE),0)</f>
        <v/>
      </c>
      <c r="T61" s="393">
        <f>M61+O61+P61+Q61+R61+S61</f>
        <v/>
      </c>
    </row>
    <row r="62">
      <c r="A62" s="388" t="n"/>
      <c r="B62" s="388" t="n"/>
      <c r="C62" s="389" t="n"/>
      <c r="D62" s="389" t="n"/>
      <c r="E62" s="390" t="n"/>
      <c r="F62" s="391" t="n"/>
      <c r="G62" s="306" t="n">
        <v>1</v>
      </c>
      <c r="H62" s="306" t="n">
        <v>1</v>
      </c>
      <c r="I62" s="306" t="n">
        <v>0</v>
      </c>
      <c r="J62" s="306" t="inlineStr">
        <is>
          <t>J</t>
        </is>
      </c>
      <c r="K62" s="392">
        <f>IF(ISNUMBER(E62),IF(ISNUMBER(F62),F62,Instellingen!$B$6)+Instellingen!$B$5,"")</f>
        <v/>
      </c>
      <c r="L62" s="392">
        <f>IFERROR(INDEX(Impregnatie!$B$4:$O$25,MATCH(C62,Impregnatie!$A$4:$A$25,0),MATCH(D62,Impregnatie!$B$3:$O$3,0))*(1+Instellingen!$B$4),"")</f>
        <v/>
      </c>
      <c r="M62" s="392">
        <f>IF(AND(ISNUMBER(E62),ISNUMBER(L62)),E62*L62,0)</f>
        <v/>
      </c>
      <c r="N62" s="392">
        <f>IFERROR(INDEX('Droge kous'!$B$4:$T$33,MATCH(C62,'Droge kous'!$A$4:$A$33,0),MATCH(D62,'Droge kous'!$B$3:$T$3,0)),"")</f>
        <v/>
      </c>
      <c r="O62" s="392">
        <f>IF(AND(ISNUMBER(K62),ISNUMBER(N62)),K62*N62,0)</f>
        <v/>
      </c>
      <c r="P62" s="392">
        <f>IF(ISNUMBER(C62),IFERROR(N(G62)*VLOOKUP(C62,Sundry!$A$4:$G$20,4,TRUE),0),0)</f>
        <v/>
      </c>
      <c r="Q62" s="392">
        <f>IF(ISNUMBER(C62),IFERROR(N(H62)*VLOOKUP(C62,Sundry!$A$4:$G$20,5,TRUE),0),0)</f>
        <v/>
      </c>
      <c r="R62" s="392">
        <f>IF(ISNUMBER(C62),IFERROR(N(I62)*VLOOKUP(C62,Sundry!$A$4:$G$20,3,TRUE),0),0)</f>
        <v/>
      </c>
      <c r="S62" s="392">
        <f>IF(AND(ISNUMBER(C62),ISNUMBER(E62),UPPER(J62)="N",E62&lt;VLOOKUP(C62,Sundry!$A$4:$G$20,7,TRUE)),VLOOKUP(C62,Sundry!$A$4:$G$20,6,TRUE),0)</f>
        <v/>
      </c>
      <c r="T62" s="393">
        <f>M62+O62+P62+Q62+R62+S62</f>
        <v/>
      </c>
    </row>
    <row r="63">
      <c r="A63" s="388" t="n"/>
      <c r="B63" s="388" t="n"/>
      <c r="C63" s="389" t="n"/>
      <c r="D63" s="389" t="n"/>
      <c r="E63" s="390" t="n"/>
      <c r="F63" s="391" t="n"/>
      <c r="G63" s="306" t="n">
        <v>1</v>
      </c>
      <c r="H63" s="306" t="n">
        <v>1</v>
      </c>
      <c r="I63" s="306" t="n">
        <v>0</v>
      </c>
      <c r="J63" s="306" t="inlineStr">
        <is>
          <t>J</t>
        </is>
      </c>
      <c r="K63" s="392">
        <f>IF(ISNUMBER(E63),IF(ISNUMBER(F63),F63,Instellingen!$B$6)+Instellingen!$B$5,"")</f>
        <v/>
      </c>
      <c r="L63" s="392">
        <f>IFERROR(INDEX(Impregnatie!$B$4:$O$25,MATCH(C63,Impregnatie!$A$4:$A$25,0),MATCH(D63,Impregnatie!$B$3:$O$3,0))*(1+Instellingen!$B$4),"")</f>
        <v/>
      </c>
      <c r="M63" s="392">
        <f>IF(AND(ISNUMBER(E63),ISNUMBER(L63)),E63*L63,0)</f>
        <v/>
      </c>
      <c r="N63" s="392">
        <f>IFERROR(INDEX('Droge kous'!$B$4:$T$33,MATCH(C63,'Droge kous'!$A$4:$A$33,0),MATCH(D63,'Droge kous'!$B$3:$T$3,0)),"")</f>
        <v/>
      </c>
      <c r="O63" s="392">
        <f>IF(AND(ISNUMBER(K63),ISNUMBER(N63)),K63*N63,0)</f>
        <v/>
      </c>
      <c r="P63" s="392">
        <f>IF(ISNUMBER(C63),IFERROR(N(G63)*VLOOKUP(C63,Sundry!$A$4:$G$20,4,TRUE),0),0)</f>
        <v/>
      </c>
      <c r="Q63" s="392">
        <f>IF(ISNUMBER(C63),IFERROR(N(H63)*VLOOKUP(C63,Sundry!$A$4:$G$20,5,TRUE),0),0)</f>
        <v/>
      </c>
      <c r="R63" s="392">
        <f>IF(ISNUMBER(C63),IFERROR(N(I63)*VLOOKUP(C63,Sundry!$A$4:$G$20,3,TRUE),0),0)</f>
        <v/>
      </c>
      <c r="S63" s="392">
        <f>IF(AND(ISNUMBER(C63),ISNUMBER(E63),UPPER(J63)="N",E63&lt;VLOOKUP(C63,Sundry!$A$4:$G$20,7,TRUE)),VLOOKUP(C63,Sundry!$A$4:$G$20,6,TRUE),0)</f>
        <v/>
      </c>
      <c r="T63" s="393">
        <f>M63+O63+P63+Q63+R63+S63</f>
        <v/>
      </c>
    </row>
    <row r="64">
      <c r="A64" s="388" t="n"/>
      <c r="B64" s="388" t="n"/>
      <c r="C64" s="389" t="n"/>
      <c r="D64" s="389" t="n"/>
      <c r="E64" s="390" t="n"/>
      <c r="F64" s="391" t="n"/>
      <c r="G64" s="306" t="n">
        <v>1</v>
      </c>
      <c r="H64" s="306" t="n">
        <v>1</v>
      </c>
      <c r="I64" s="306" t="n">
        <v>0</v>
      </c>
      <c r="J64" s="306" t="inlineStr">
        <is>
          <t>J</t>
        </is>
      </c>
      <c r="K64" s="392">
        <f>IF(ISNUMBER(E64),IF(ISNUMBER(F64),F64,Instellingen!$B$6)+Instellingen!$B$5,"")</f>
        <v/>
      </c>
      <c r="L64" s="392">
        <f>IFERROR(INDEX(Impregnatie!$B$4:$O$25,MATCH(C64,Impregnatie!$A$4:$A$25,0),MATCH(D64,Impregnatie!$B$3:$O$3,0))*(1+Instellingen!$B$4),"")</f>
        <v/>
      </c>
      <c r="M64" s="392">
        <f>IF(AND(ISNUMBER(E64),ISNUMBER(L64)),E64*L64,0)</f>
        <v/>
      </c>
      <c r="N64" s="392">
        <f>IFERROR(INDEX('Droge kous'!$B$4:$T$33,MATCH(C64,'Droge kous'!$A$4:$A$33,0),MATCH(D64,'Droge kous'!$B$3:$T$3,0)),"")</f>
        <v/>
      </c>
      <c r="O64" s="392">
        <f>IF(AND(ISNUMBER(K64),ISNUMBER(N64)),K64*N64,0)</f>
        <v/>
      </c>
      <c r="P64" s="392">
        <f>IF(ISNUMBER(C64),IFERROR(N(G64)*VLOOKUP(C64,Sundry!$A$4:$G$20,4,TRUE),0),0)</f>
        <v/>
      </c>
      <c r="Q64" s="392">
        <f>IF(ISNUMBER(C64),IFERROR(N(H64)*VLOOKUP(C64,Sundry!$A$4:$G$20,5,TRUE),0),0)</f>
        <v/>
      </c>
      <c r="R64" s="392">
        <f>IF(ISNUMBER(C64),IFERROR(N(I64)*VLOOKUP(C64,Sundry!$A$4:$G$20,3,TRUE),0),0)</f>
        <v/>
      </c>
      <c r="S64" s="392">
        <f>IF(AND(ISNUMBER(C64),ISNUMBER(E64),UPPER(J64)="N",E64&lt;VLOOKUP(C64,Sundry!$A$4:$G$20,7,TRUE)),VLOOKUP(C64,Sundry!$A$4:$G$20,6,TRUE),0)</f>
        <v/>
      </c>
      <c r="T64" s="393">
        <f>M64+O64+P64+Q64+R64+S64</f>
        <v/>
      </c>
    </row>
    <row r="65">
      <c r="A65" s="388" t="n"/>
      <c r="B65" s="388" t="n"/>
      <c r="C65" s="389" t="n"/>
      <c r="D65" s="389" t="n"/>
      <c r="E65" s="390" t="n"/>
      <c r="F65" s="391" t="n"/>
      <c r="G65" s="306" t="n">
        <v>1</v>
      </c>
      <c r="H65" s="306" t="n">
        <v>1</v>
      </c>
      <c r="I65" s="306" t="n">
        <v>0</v>
      </c>
      <c r="J65" s="306" t="inlineStr">
        <is>
          <t>J</t>
        </is>
      </c>
      <c r="K65" s="392">
        <f>IF(ISNUMBER(E65),IF(ISNUMBER(F65),F65,Instellingen!$B$6)+Instellingen!$B$5,"")</f>
        <v/>
      </c>
      <c r="L65" s="392">
        <f>IFERROR(INDEX(Impregnatie!$B$4:$O$25,MATCH(C65,Impregnatie!$A$4:$A$25,0),MATCH(D65,Impregnatie!$B$3:$O$3,0))*(1+Instellingen!$B$4),"")</f>
        <v/>
      </c>
      <c r="M65" s="392">
        <f>IF(AND(ISNUMBER(E65),ISNUMBER(L65)),E65*L65,0)</f>
        <v/>
      </c>
      <c r="N65" s="392">
        <f>IFERROR(INDEX('Droge kous'!$B$4:$T$33,MATCH(C65,'Droge kous'!$A$4:$A$33,0),MATCH(D65,'Droge kous'!$B$3:$T$3,0)),"")</f>
        <v/>
      </c>
      <c r="O65" s="392">
        <f>IF(AND(ISNUMBER(K65),ISNUMBER(N65)),K65*N65,0)</f>
        <v/>
      </c>
      <c r="P65" s="392">
        <f>IF(ISNUMBER(C65),IFERROR(N(G65)*VLOOKUP(C65,Sundry!$A$4:$G$20,4,TRUE),0),0)</f>
        <v/>
      </c>
      <c r="Q65" s="392">
        <f>IF(ISNUMBER(C65),IFERROR(N(H65)*VLOOKUP(C65,Sundry!$A$4:$G$20,5,TRUE),0),0)</f>
        <v/>
      </c>
      <c r="R65" s="392">
        <f>IF(ISNUMBER(C65),IFERROR(N(I65)*VLOOKUP(C65,Sundry!$A$4:$G$20,3,TRUE),0),0)</f>
        <v/>
      </c>
      <c r="S65" s="392">
        <f>IF(AND(ISNUMBER(C65),ISNUMBER(E65),UPPER(J65)="N",E65&lt;VLOOKUP(C65,Sundry!$A$4:$G$20,7,TRUE)),VLOOKUP(C65,Sundry!$A$4:$G$20,6,TRUE),0)</f>
        <v/>
      </c>
      <c r="T65" s="393">
        <f>M65+O65+P65+Q65+R65+S65</f>
        <v/>
      </c>
    </row>
    <row r="66">
      <c r="A66" s="388" t="n"/>
      <c r="B66" s="388" t="n"/>
      <c r="C66" s="389" t="n"/>
      <c r="D66" s="389" t="n"/>
      <c r="E66" s="390" t="n"/>
      <c r="F66" s="391" t="n"/>
      <c r="G66" s="306" t="n">
        <v>1</v>
      </c>
      <c r="H66" s="306" t="n">
        <v>1</v>
      </c>
      <c r="I66" s="306" t="n">
        <v>0</v>
      </c>
      <c r="J66" s="306" t="inlineStr">
        <is>
          <t>J</t>
        </is>
      </c>
      <c r="K66" s="392">
        <f>IF(ISNUMBER(E66),IF(ISNUMBER(F66),F66,Instellingen!$B$6)+Instellingen!$B$5,"")</f>
        <v/>
      </c>
      <c r="L66" s="392">
        <f>IFERROR(INDEX(Impregnatie!$B$4:$O$25,MATCH(C66,Impregnatie!$A$4:$A$25,0),MATCH(D66,Impregnatie!$B$3:$O$3,0))*(1+Instellingen!$B$4),"")</f>
        <v/>
      </c>
      <c r="M66" s="392">
        <f>IF(AND(ISNUMBER(E66),ISNUMBER(L66)),E66*L66,0)</f>
        <v/>
      </c>
      <c r="N66" s="392">
        <f>IFERROR(INDEX('Droge kous'!$B$4:$T$33,MATCH(C66,'Droge kous'!$A$4:$A$33,0),MATCH(D66,'Droge kous'!$B$3:$T$3,0)),"")</f>
        <v/>
      </c>
      <c r="O66" s="392">
        <f>IF(AND(ISNUMBER(K66),ISNUMBER(N66)),K66*N66,0)</f>
        <v/>
      </c>
      <c r="P66" s="392">
        <f>IF(ISNUMBER(C66),IFERROR(N(G66)*VLOOKUP(C66,Sundry!$A$4:$G$20,4,TRUE),0),0)</f>
        <v/>
      </c>
      <c r="Q66" s="392">
        <f>IF(ISNUMBER(C66),IFERROR(N(H66)*VLOOKUP(C66,Sundry!$A$4:$G$20,5,TRUE),0),0)</f>
        <v/>
      </c>
      <c r="R66" s="392">
        <f>IF(ISNUMBER(C66),IFERROR(N(I66)*VLOOKUP(C66,Sundry!$A$4:$G$20,3,TRUE),0),0)</f>
        <v/>
      </c>
      <c r="S66" s="392">
        <f>IF(AND(ISNUMBER(C66),ISNUMBER(E66),UPPER(J66)="N",E66&lt;VLOOKUP(C66,Sundry!$A$4:$G$20,7,TRUE)),VLOOKUP(C66,Sundry!$A$4:$G$20,6,TRUE),0)</f>
        <v/>
      </c>
      <c r="T66" s="393">
        <f>M66+O66+P66+Q66+R66+S66</f>
        <v/>
      </c>
    </row>
    <row r="67">
      <c r="A67" s="388" t="n"/>
      <c r="B67" s="388" t="n"/>
      <c r="C67" s="389" t="n"/>
      <c r="D67" s="389" t="n"/>
      <c r="E67" s="390" t="n"/>
      <c r="F67" s="391" t="n"/>
      <c r="G67" s="306" t="n">
        <v>1</v>
      </c>
      <c r="H67" s="306" t="n">
        <v>1</v>
      </c>
      <c r="I67" s="306" t="n">
        <v>0</v>
      </c>
      <c r="J67" s="306" t="inlineStr">
        <is>
          <t>J</t>
        </is>
      </c>
      <c r="K67" s="392">
        <f>IF(ISNUMBER(E67),IF(ISNUMBER(F67),F67,Instellingen!$B$6)+Instellingen!$B$5,"")</f>
        <v/>
      </c>
      <c r="L67" s="392">
        <f>IFERROR(INDEX(Impregnatie!$B$4:$O$25,MATCH(C67,Impregnatie!$A$4:$A$25,0),MATCH(D67,Impregnatie!$B$3:$O$3,0))*(1+Instellingen!$B$4),"")</f>
        <v/>
      </c>
      <c r="M67" s="392">
        <f>IF(AND(ISNUMBER(E67),ISNUMBER(L67)),E67*L67,0)</f>
        <v/>
      </c>
      <c r="N67" s="392">
        <f>IFERROR(INDEX('Droge kous'!$B$4:$T$33,MATCH(C67,'Droge kous'!$A$4:$A$33,0),MATCH(D67,'Droge kous'!$B$3:$T$3,0)),"")</f>
        <v/>
      </c>
      <c r="O67" s="392">
        <f>IF(AND(ISNUMBER(K67),ISNUMBER(N67)),K67*N67,0)</f>
        <v/>
      </c>
      <c r="P67" s="392">
        <f>IF(ISNUMBER(C67),IFERROR(N(G67)*VLOOKUP(C67,Sundry!$A$4:$G$20,4,TRUE),0),0)</f>
        <v/>
      </c>
      <c r="Q67" s="392">
        <f>IF(ISNUMBER(C67),IFERROR(N(H67)*VLOOKUP(C67,Sundry!$A$4:$G$20,5,TRUE),0),0)</f>
        <v/>
      </c>
      <c r="R67" s="392">
        <f>IF(ISNUMBER(C67),IFERROR(N(I67)*VLOOKUP(C67,Sundry!$A$4:$G$20,3,TRUE),0),0)</f>
        <v/>
      </c>
      <c r="S67" s="392">
        <f>IF(AND(ISNUMBER(C67),ISNUMBER(E67),UPPER(J67)="N",E67&lt;VLOOKUP(C67,Sundry!$A$4:$G$20,7,TRUE)),VLOOKUP(C67,Sundry!$A$4:$G$20,6,TRUE),0)</f>
        <v/>
      </c>
      <c r="T67" s="393">
        <f>M67+O67+P67+Q67+R67+S67</f>
        <v/>
      </c>
    </row>
    <row r="68">
      <c r="A68" s="388" t="n"/>
      <c r="B68" s="388" t="n"/>
      <c r="C68" s="389" t="n"/>
      <c r="D68" s="389" t="n"/>
      <c r="E68" s="390" t="n"/>
      <c r="F68" s="391" t="n"/>
      <c r="G68" s="306" t="n">
        <v>1</v>
      </c>
      <c r="H68" s="306" t="n">
        <v>1</v>
      </c>
      <c r="I68" s="306" t="n">
        <v>0</v>
      </c>
      <c r="J68" s="306" t="inlineStr">
        <is>
          <t>J</t>
        </is>
      </c>
      <c r="K68" s="392">
        <f>IF(ISNUMBER(E68),IF(ISNUMBER(F68),F68,Instellingen!$B$6)+Instellingen!$B$5,"")</f>
        <v/>
      </c>
      <c r="L68" s="392">
        <f>IFERROR(INDEX(Impregnatie!$B$4:$O$25,MATCH(C68,Impregnatie!$A$4:$A$25,0),MATCH(D68,Impregnatie!$B$3:$O$3,0))*(1+Instellingen!$B$4),"")</f>
        <v/>
      </c>
      <c r="M68" s="392">
        <f>IF(AND(ISNUMBER(E68),ISNUMBER(L68)),E68*L68,0)</f>
        <v/>
      </c>
      <c r="N68" s="392">
        <f>IFERROR(INDEX('Droge kous'!$B$4:$T$33,MATCH(C68,'Droge kous'!$A$4:$A$33,0),MATCH(D68,'Droge kous'!$B$3:$T$3,0)),"")</f>
        <v/>
      </c>
      <c r="O68" s="392">
        <f>IF(AND(ISNUMBER(K68),ISNUMBER(N68)),K68*N68,0)</f>
        <v/>
      </c>
      <c r="P68" s="392">
        <f>IF(ISNUMBER(C68),IFERROR(N(G68)*VLOOKUP(C68,Sundry!$A$4:$G$20,4,TRUE),0),0)</f>
        <v/>
      </c>
      <c r="Q68" s="392">
        <f>IF(ISNUMBER(C68),IFERROR(N(H68)*VLOOKUP(C68,Sundry!$A$4:$G$20,5,TRUE),0),0)</f>
        <v/>
      </c>
      <c r="R68" s="392">
        <f>IF(ISNUMBER(C68),IFERROR(N(I68)*VLOOKUP(C68,Sundry!$A$4:$G$20,3,TRUE),0),0)</f>
        <v/>
      </c>
      <c r="S68" s="392">
        <f>IF(AND(ISNUMBER(C68),ISNUMBER(E68),UPPER(J68)="N",E68&lt;VLOOKUP(C68,Sundry!$A$4:$G$20,7,TRUE)),VLOOKUP(C68,Sundry!$A$4:$G$20,6,TRUE),0)</f>
        <v/>
      </c>
      <c r="T68" s="393">
        <f>M68+O68+P68+Q68+R68+S68</f>
        <v/>
      </c>
    </row>
    <row r="69">
      <c r="A69" s="388" t="n"/>
      <c r="B69" s="388" t="n"/>
      <c r="C69" s="389" t="n"/>
      <c r="D69" s="389" t="n"/>
      <c r="E69" s="390" t="n"/>
      <c r="F69" s="391" t="n"/>
      <c r="G69" s="306" t="n">
        <v>1</v>
      </c>
      <c r="H69" s="306" t="n">
        <v>1</v>
      </c>
      <c r="I69" s="306" t="n">
        <v>0</v>
      </c>
      <c r="J69" s="306" t="inlineStr">
        <is>
          <t>J</t>
        </is>
      </c>
      <c r="K69" s="392">
        <f>IF(ISNUMBER(E69),IF(ISNUMBER(F69),F69,Instellingen!$B$6)+Instellingen!$B$5,"")</f>
        <v/>
      </c>
      <c r="L69" s="392">
        <f>IFERROR(INDEX(Impregnatie!$B$4:$O$25,MATCH(C69,Impregnatie!$A$4:$A$25,0),MATCH(D69,Impregnatie!$B$3:$O$3,0))*(1+Instellingen!$B$4),"")</f>
        <v/>
      </c>
      <c r="M69" s="392">
        <f>IF(AND(ISNUMBER(E69),ISNUMBER(L69)),E69*L69,0)</f>
        <v/>
      </c>
      <c r="N69" s="392">
        <f>IFERROR(INDEX('Droge kous'!$B$4:$T$33,MATCH(C69,'Droge kous'!$A$4:$A$33,0),MATCH(D69,'Droge kous'!$B$3:$T$3,0)),"")</f>
        <v/>
      </c>
      <c r="O69" s="392">
        <f>IF(AND(ISNUMBER(K69),ISNUMBER(N69)),K69*N69,0)</f>
        <v/>
      </c>
      <c r="P69" s="392">
        <f>IF(ISNUMBER(C69),IFERROR(N(G69)*VLOOKUP(C69,Sundry!$A$4:$G$20,4,TRUE),0),0)</f>
        <v/>
      </c>
      <c r="Q69" s="392">
        <f>IF(ISNUMBER(C69),IFERROR(N(H69)*VLOOKUP(C69,Sundry!$A$4:$G$20,5,TRUE),0),0)</f>
        <v/>
      </c>
      <c r="R69" s="392">
        <f>IF(ISNUMBER(C69),IFERROR(N(I69)*VLOOKUP(C69,Sundry!$A$4:$G$20,3,TRUE),0),0)</f>
        <v/>
      </c>
      <c r="S69" s="392">
        <f>IF(AND(ISNUMBER(C69),ISNUMBER(E69),UPPER(J69)="N",E69&lt;VLOOKUP(C69,Sundry!$A$4:$G$20,7,TRUE)),VLOOKUP(C69,Sundry!$A$4:$G$20,6,TRUE),0)</f>
        <v/>
      </c>
      <c r="T69" s="393">
        <f>M69+O69+P69+Q69+R69+S69</f>
        <v/>
      </c>
    </row>
    <row r="70">
      <c r="A70" s="388" t="n"/>
      <c r="B70" s="388" t="n"/>
      <c r="C70" s="389" t="n"/>
      <c r="D70" s="389" t="n"/>
      <c r="E70" s="390" t="n"/>
      <c r="F70" s="391" t="n"/>
      <c r="G70" s="306" t="n">
        <v>1</v>
      </c>
      <c r="H70" s="306" t="n">
        <v>1</v>
      </c>
      <c r="I70" s="306" t="n">
        <v>0</v>
      </c>
      <c r="J70" s="306" t="inlineStr">
        <is>
          <t>J</t>
        </is>
      </c>
      <c r="K70" s="392">
        <f>IF(ISNUMBER(E70),IF(ISNUMBER(F70),F70,Instellingen!$B$6)+Instellingen!$B$5,"")</f>
        <v/>
      </c>
      <c r="L70" s="392">
        <f>IFERROR(INDEX(Impregnatie!$B$4:$O$25,MATCH(C70,Impregnatie!$A$4:$A$25,0),MATCH(D70,Impregnatie!$B$3:$O$3,0))*(1+Instellingen!$B$4),"")</f>
        <v/>
      </c>
      <c r="M70" s="392">
        <f>IF(AND(ISNUMBER(E70),ISNUMBER(L70)),E70*L70,0)</f>
        <v/>
      </c>
      <c r="N70" s="392">
        <f>IFERROR(INDEX('Droge kous'!$B$4:$T$33,MATCH(C70,'Droge kous'!$A$4:$A$33,0),MATCH(D70,'Droge kous'!$B$3:$T$3,0)),"")</f>
        <v/>
      </c>
      <c r="O70" s="392">
        <f>IF(AND(ISNUMBER(K70),ISNUMBER(N70)),K70*N70,0)</f>
        <v/>
      </c>
      <c r="P70" s="392">
        <f>IF(ISNUMBER(C70),IFERROR(N(G70)*VLOOKUP(C70,Sundry!$A$4:$G$20,4,TRUE),0),0)</f>
        <v/>
      </c>
      <c r="Q70" s="392">
        <f>IF(ISNUMBER(C70),IFERROR(N(H70)*VLOOKUP(C70,Sundry!$A$4:$G$20,5,TRUE),0),0)</f>
        <v/>
      </c>
      <c r="R70" s="392">
        <f>IF(ISNUMBER(C70),IFERROR(N(I70)*VLOOKUP(C70,Sundry!$A$4:$G$20,3,TRUE),0),0)</f>
        <v/>
      </c>
      <c r="S70" s="392">
        <f>IF(AND(ISNUMBER(C70),ISNUMBER(E70),UPPER(J70)="N",E70&lt;VLOOKUP(C70,Sundry!$A$4:$G$20,7,TRUE)),VLOOKUP(C70,Sundry!$A$4:$G$20,6,TRUE),0)</f>
        <v/>
      </c>
      <c r="T70" s="393">
        <f>M70+O70+P70+Q70+R70+S70</f>
        <v/>
      </c>
    </row>
    <row r="71">
      <c r="A71" s="388" t="n"/>
      <c r="B71" s="388" t="n"/>
      <c r="C71" s="389" t="n"/>
      <c r="D71" s="389" t="n"/>
      <c r="E71" s="390" t="n"/>
      <c r="F71" s="391" t="n"/>
      <c r="G71" s="306" t="n">
        <v>1</v>
      </c>
      <c r="H71" s="306" t="n">
        <v>1</v>
      </c>
      <c r="I71" s="306" t="n">
        <v>0</v>
      </c>
      <c r="J71" s="306" t="inlineStr">
        <is>
          <t>J</t>
        </is>
      </c>
      <c r="K71" s="392">
        <f>IF(ISNUMBER(E71),IF(ISNUMBER(F71),F71,Instellingen!$B$6)+Instellingen!$B$5,"")</f>
        <v/>
      </c>
      <c r="L71" s="392">
        <f>IFERROR(INDEX(Impregnatie!$B$4:$O$25,MATCH(C71,Impregnatie!$A$4:$A$25,0),MATCH(D71,Impregnatie!$B$3:$O$3,0))*(1+Instellingen!$B$4),"")</f>
        <v/>
      </c>
      <c r="M71" s="392">
        <f>IF(AND(ISNUMBER(E71),ISNUMBER(L71)),E71*L71,0)</f>
        <v/>
      </c>
      <c r="N71" s="392">
        <f>IFERROR(INDEX('Droge kous'!$B$4:$T$33,MATCH(C71,'Droge kous'!$A$4:$A$33,0),MATCH(D71,'Droge kous'!$B$3:$T$3,0)),"")</f>
        <v/>
      </c>
      <c r="O71" s="392">
        <f>IF(AND(ISNUMBER(K71),ISNUMBER(N71)),K71*N71,0)</f>
        <v/>
      </c>
      <c r="P71" s="392">
        <f>IF(ISNUMBER(C71),IFERROR(N(G71)*VLOOKUP(C71,Sundry!$A$4:$G$20,4,TRUE),0),0)</f>
        <v/>
      </c>
      <c r="Q71" s="392">
        <f>IF(ISNUMBER(C71),IFERROR(N(H71)*VLOOKUP(C71,Sundry!$A$4:$G$20,5,TRUE),0),0)</f>
        <v/>
      </c>
      <c r="R71" s="392">
        <f>IF(ISNUMBER(C71),IFERROR(N(I71)*VLOOKUP(C71,Sundry!$A$4:$G$20,3,TRUE),0),0)</f>
        <v/>
      </c>
      <c r="S71" s="392">
        <f>IF(AND(ISNUMBER(C71),ISNUMBER(E71),UPPER(J71)="N",E71&lt;VLOOKUP(C71,Sundry!$A$4:$G$20,7,TRUE)),VLOOKUP(C71,Sundry!$A$4:$G$20,6,TRUE),0)</f>
        <v/>
      </c>
      <c r="T71" s="393">
        <f>M71+O71+P71+Q71+R71+S71</f>
        <v/>
      </c>
    </row>
    <row r="72">
      <c r="A72" s="388" t="n"/>
      <c r="B72" s="388" t="n"/>
      <c r="C72" s="389" t="n"/>
      <c r="D72" s="389" t="n"/>
      <c r="E72" s="390" t="n"/>
      <c r="F72" s="391" t="n"/>
      <c r="G72" s="306" t="n">
        <v>1</v>
      </c>
      <c r="H72" s="306" t="n">
        <v>1</v>
      </c>
      <c r="I72" s="306" t="n">
        <v>0</v>
      </c>
      <c r="J72" s="306" t="inlineStr">
        <is>
          <t>J</t>
        </is>
      </c>
      <c r="K72" s="392">
        <f>IF(ISNUMBER(E72),IF(ISNUMBER(F72),F72,Instellingen!$B$6)+Instellingen!$B$5,"")</f>
        <v/>
      </c>
      <c r="L72" s="392">
        <f>IFERROR(INDEX(Impregnatie!$B$4:$O$25,MATCH(C72,Impregnatie!$A$4:$A$25,0),MATCH(D72,Impregnatie!$B$3:$O$3,0))*(1+Instellingen!$B$4),"")</f>
        <v/>
      </c>
      <c r="M72" s="392">
        <f>IF(AND(ISNUMBER(E72),ISNUMBER(L72)),E72*L72,0)</f>
        <v/>
      </c>
      <c r="N72" s="392">
        <f>IFERROR(INDEX('Droge kous'!$B$4:$T$33,MATCH(C72,'Droge kous'!$A$4:$A$33,0),MATCH(D72,'Droge kous'!$B$3:$T$3,0)),"")</f>
        <v/>
      </c>
      <c r="O72" s="392">
        <f>IF(AND(ISNUMBER(K72),ISNUMBER(N72)),K72*N72,0)</f>
        <v/>
      </c>
      <c r="P72" s="392">
        <f>IF(ISNUMBER(C72),IFERROR(N(G72)*VLOOKUP(C72,Sundry!$A$4:$G$20,4,TRUE),0),0)</f>
        <v/>
      </c>
      <c r="Q72" s="392">
        <f>IF(ISNUMBER(C72),IFERROR(N(H72)*VLOOKUP(C72,Sundry!$A$4:$G$20,5,TRUE),0),0)</f>
        <v/>
      </c>
      <c r="R72" s="392">
        <f>IF(ISNUMBER(C72),IFERROR(N(I72)*VLOOKUP(C72,Sundry!$A$4:$G$20,3,TRUE),0),0)</f>
        <v/>
      </c>
      <c r="S72" s="392">
        <f>IF(AND(ISNUMBER(C72),ISNUMBER(E72),UPPER(J72)="N",E72&lt;VLOOKUP(C72,Sundry!$A$4:$G$20,7,TRUE)),VLOOKUP(C72,Sundry!$A$4:$G$20,6,TRUE),0)</f>
        <v/>
      </c>
      <c r="T72" s="393">
        <f>M72+O72+P72+Q72+R72+S72</f>
        <v/>
      </c>
    </row>
    <row r="73">
      <c r="A73" s="388" t="n"/>
      <c r="B73" s="388" t="n"/>
      <c r="C73" s="389" t="n"/>
      <c r="D73" s="389" t="n"/>
      <c r="E73" s="390" t="n"/>
      <c r="F73" s="391" t="n"/>
      <c r="G73" s="306" t="n">
        <v>1</v>
      </c>
      <c r="H73" s="306" t="n">
        <v>1</v>
      </c>
      <c r="I73" s="306" t="n">
        <v>0</v>
      </c>
      <c r="J73" s="306" t="inlineStr">
        <is>
          <t>J</t>
        </is>
      </c>
      <c r="K73" s="392">
        <f>IF(ISNUMBER(E73),IF(ISNUMBER(F73),F73,Instellingen!$B$6)+Instellingen!$B$5,"")</f>
        <v/>
      </c>
      <c r="L73" s="392">
        <f>IFERROR(INDEX(Impregnatie!$B$4:$O$25,MATCH(C73,Impregnatie!$A$4:$A$25,0),MATCH(D73,Impregnatie!$B$3:$O$3,0))*(1+Instellingen!$B$4),"")</f>
        <v/>
      </c>
      <c r="M73" s="392">
        <f>IF(AND(ISNUMBER(E73),ISNUMBER(L73)),E73*L73,0)</f>
        <v/>
      </c>
      <c r="N73" s="392">
        <f>IFERROR(INDEX('Droge kous'!$B$4:$T$33,MATCH(C73,'Droge kous'!$A$4:$A$33,0),MATCH(D73,'Droge kous'!$B$3:$T$3,0)),"")</f>
        <v/>
      </c>
      <c r="O73" s="392">
        <f>IF(AND(ISNUMBER(K73),ISNUMBER(N73)),K73*N73,0)</f>
        <v/>
      </c>
      <c r="P73" s="392">
        <f>IF(ISNUMBER(C73),IFERROR(N(G73)*VLOOKUP(C73,Sundry!$A$4:$G$20,4,TRUE),0),0)</f>
        <v/>
      </c>
      <c r="Q73" s="392">
        <f>IF(ISNUMBER(C73),IFERROR(N(H73)*VLOOKUP(C73,Sundry!$A$4:$G$20,5,TRUE),0),0)</f>
        <v/>
      </c>
      <c r="R73" s="392">
        <f>IF(ISNUMBER(C73),IFERROR(N(I73)*VLOOKUP(C73,Sundry!$A$4:$G$20,3,TRUE),0),0)</f>
        <v/>
      </c>
      <c r="S73" s="392">
        <f>IF(AND(ISNUMBER(C73),ISNUMBER(E73),UPPER(J73)="N",E73&lt;VLOOKUP(C73,Sundry!$A$4:$G$20,7,TRUE)),VLOOKUP(C73,Sundry!$A$4:$G$20,6,TRUE),0)</f>
        <v/>
      </c>
      <c r="T73" s="393">
        <f>M73+O73+P73+Q73+R73+S73</f>
        <v/>
      </c>
    </row>
    <row r="74">
      <c r="A74" s="388" t="n"/>
      <c r="B74" s="388" t="n"/>
      <c r="C74" s="389" t="n"/>
      <c r="D74" s="389" t="n"/>
      <c r="E74" s="390" t="n"/>
      <c r="F74" s="391" t="n"/>
      <c r="G74" s="306" t="n">
        <v>1</v>
      </c>
      <c r="H74" s="306" t="n">
        <v>1</v>
      </c>
      <c r="I74" s="306" t="n">
        <v>0</v>
      </c>
      <c r="J74" s="306" t="inlineStr">
        <is>
          <t>J</t>
        </is>
      </c>
      <c r="K74" s="392">
        <f>IF(ISNUMBER(E74),IF(ISNUMBER(F74),F74,Instellingen!$B$6)+Instellingen!$B$5,"")</f>
        <v/>
      </c>
      <c r="L74" s="392">
        <f>IFERROR(INDEX(Impregnatie!$B$4:$O$25,MATCH(C74,Impregnatie!$A$4:$A$25,0),MATCH(D74,Impregnatie!$B$3:$O$3,0))*(1+Instellingen!$B$4),"")</f>
        <v/>
      </c>
      <c r="M74" s="392">
        <f>IF(AND(ISNUMBER(E74),ISNUMBER(L74)),E74*L74,0)</f>
        <v/>
      </c>
      <c r="N74" s="392">
        <f>IFERROR(INDEX('Droge kous'!$B$4:$T$33,MATCH(C74,'Droge kous'!$A$4:$A$33,0),MATCH(D74,'Droge kous'!$B$3:$T$3,0)),"")</f>
        <v/>
      </c>
      <c r="O74" s="392">
        <f>IF(AND(ISNUMBER(K74),ISNUMBER(N74)),K74*N74,0)</f>
        <v/>
      </c>
      <c r="P74" s="392">
        <f>IF(ISNUMBER(C74),IFERROR(N(G74)*VLOOKUP(C74,Sundry!$A$4:$G$20,4,TRUE),0),0)</f>
        <v/>
      </c>
      <c r="Q74" s="392">
        <f>IF(ISNUMBER(C74),IFERROR(N(H74)*VLOOKUP(C74,Sundry!$A$4:$G$20,5,TRUE),0),0)</f>
        <v/>
      </c>
      <c r="R74" s="392">
        <f>IF(ISNUMBER(C74),IFERROR(N(I74)*VLOOKUP(C74,Sundry!$A$4:$G$20,3,TRUE),0),0)</f>
        <v/>
      </c>
      <c r="S74" s="392">
        <f>IF(AND(ISNUMBER(C74),ISNUMBER(E74),UPPER(J74)="N",E74&lt;VLOOKUP(C74,Sundry!$A$4:$G$20,7,TRUE)),VLOOKUP(C74,Sundry!$A$4:$G$20,6,TRUE),0)</f>
        <v/>
      </c>
      <c r="T74" s="393">
        <f>M74+O74+P74+Q74+R74+S74</f>
        <v/>
      </c>
    </row>
    <row r="75">
      <c r="A75" s="242" t="inlineStr">
        <is>
          <t>TOTAAL</t>
        </is>
      </c>
      <c r="B75" s="242" t="n"/>
      <c r="C75" s="242" t="n"/>
      <c r="D75" s="242" t="n"/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394">
        <f>SUM(M5:M74)</f>
        <v/>
      </c>
      <c r="N75" s="242" t="n"/>
      <c r="O75" s="394">
        <f>SUM(O5:O74)</f>
        <v/>
      </c>
      <c r="P75" s="394">
        <f>SUM(P5:P74)</f>
        <v/>
      </c>
      <c r="Q75" s="394">
        <f>SUM(Q5:Q74)</f>
        <v/>
      </c>
      <c r="R75" s="394">
        <f>SUM(R5:R74)</f>
        <v/>
      </c>
      <c r="S75" s="394">
        <f>SUM(S5:S74)</f>
        <v/>
      </c>
      <c r="T75" s="394">
        <f>SUM(T5:T74)</f>
        <v/>
      </c>
    </row>
  </sheetData>
  <dataValidations count="1">
    <dataValidation sqref="J5:J74" showDropDown="0" showInputMessage="0" showErrorMessage="0" allowBlank="1" type="list">
      <formula1>"J,N"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Wouter Sloog</dc:creator>
  <dcterms:created xsi:type="dcterms:W3CDTF">2020-08-14T08:06:47Z</dcterms:created>
  <dcterms:modified xsi:type="dcterms:W3CDTF">2026-06-24T19:58:20Z</dcterms:modified>
  <cp:lastModifiedBy>Marcel Montanus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0x0101007F01E88AAEF76642984D0BD01ED3ED8C</vt:lpwstr>
  </property>
</Properties>
</file>
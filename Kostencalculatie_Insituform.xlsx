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ekening" sheetId="1" state="visible" r:id="rId1"/>
    <sheet name="Instellingen" sheetId="2" state="visible" r:id="rId2"/>
    <sheet name="Impregnatie" sheetId="3" state="visible" r:id="rId3"/>
    <sheet name="Droge kous" sheetId="4" state="visible" r:id="rId4"/>
    <sheet name="Sund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\ &quot;€&quot;"/>
  </numFmts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color rgb="00595959"/>
      <sz val="9"/>
    </font>
    <font>
      <i val="1"/>
      <color rgb="00595959"/>
      <sz val="9"/>
    </font>
    <font>
      <i val="1"/>
      <color rgb="00C00000"/>
      <sz val="9"/>
    </font>
    <font>
      <b val="1"/>
    </font>
    <font>
      <b val="1"/>
      <color rgb="001F4E78"/>
      <sz val="15"/>
    </font>
    <font>
      <b val="1"/>
      <color rgb="00FFFFFF"/>
      <sz val="11"/>
    </font>
    <font>
      <b val="1"/>
      <color rgb="00FFFFFF"/>
    </font>
    <font>
      <b val="1"/>
      <color rgb="001F4E78"/>
      <sz val="12"/>
    </font>
    <font>
      <b val="1"/>
      <sz val="11"/>
    </font>
    <font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2" fontId="0" fillId="3" borderId="1" pivotButton="0" quotePrefix="0" xfId="0"/>
    <xf numFmtId="2" fontId="0" fillId="6" borderId="1" pivotButton="0" quotePrefix="0" xfId="0"/>
    <xf numFmtId="165" fontId="0" fillId="3" borderId="1" pivotButton="0" quotePrefix="0" xfId="0"/>
    <xf numFmtId="165" fontId="0" fillId="6" borderId="1" pivotButton="0" quotePrefix="0" xfId="0"/>
    <xf numFmtId="165" fontId="6" fillId="7" borderId="1" pivotButton="0" quotePrefix="0" xfId="0"/>
    <xf numFmtId="0" fontId="0" fillId="0" borderId="1" pivotButton="0" quotePrefix="0" xfId="0"/>
    <xf numFmtId="1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1" fillId="7" borderId="1" pivotButton="0" quotePrefix="0" xfId="0"/>
    <xf numFmtId="165" fontId="12" fillId="7" borderId="1" applyAlignment="1" pivotButton="0" quotePrefix="0" xfId="0">
      <alignment horizontal="right"/>
    </xf>
    <xf numFmtId="0" fontId="8" fillId="2" borderId="1" pivotButton="0" quotePrefix="0" xfId="0"/>
    <xf numFmtId="0" fontId="0" fillId="2" borderId="1" pivotButton="0" quotePrefix="0" xfId="0"/>
    <xf numFmtId="165" fontId="9" fillId="2" borderId="1" pivotButton="0" quotePrefix="0" xfId="0"/>
    <xf numFmtId="0" fontId="1" fillId="0" borderId="0" pivotButton="0" quotePrefix="0" xfId="0"/>
    <xf numFmtId="164" fontId="0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0" fillId="5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7" customWidth="1" min="4" max="4"/>
    <col width="11" customWidth="1" min="5" max="5"/>
    <col width="9" customWidth="1" min="6" max="6"/>
    <col width="10" customWidth="1" min="7" max="7"/>
    <col width="7" customWidth="1" min="8" max="8"/>
    <col width="7" customWidth="1" min="9" max="9"/>
    <col width="7" customWidth="1" min="10" max="10"/>
    <col width="11" customWidth="1" min="11" max="11"/>
    <col width="9" customWidth="1" min="12" max="12"/>
    <col width="13" customWidth="1" min="13" max="13"/>
    <col width="8" customWidth="1" min="14" max="14"/>
    <col width="12" customWidth="1" min="15" max="15"/>
    <col width="11" customWidth="1" min="16" max="16"/>
    <col width="11" customWidth="1" min="17" max="17"/>
    <col width="11" customWidth="1" min="18" max="18"/>
    <col width="10" customWidth="1" min="19" max="19"/>
    <col width="14" customWidth="1" min="20" max="20"/>
    <col width="22" customWidth="1" min="22" max="22"/>
    <col width="15" customWidth="1" min="23" max="23"/>
  </cols>
  <sheetData>
    <row r="1">
      <c r="A1" s="1" t="inlineStr">
        <is>
          <t>KOSTENCALCULATIE — verwachte kosten per bestelling</t>
        </is>
      </c>
    </row>
    <row r="2">
      <c r="A2" s="2" t="inlineStr">
        <is>
          <t>Vul de gele kolommen in (per kous). De grijze kolommen rekenen automatisch. Prijzen staan op de prijs-tabbladen.</t>
        </is>
      </c>
    </row>
    <row r="4" ht="30" customHeight="1">
      <c r="A4" s="3" t="inlineStr">
        <is>
          <t>Kous</t>
        </is>
      </c>
      <c r="B4" s="3" t="inlineStr">
        <is>
          <t>Omschrijving / locatie</t>
        </is>
      </c>
      <c r="C4" s="3" t="inlineStr">
        <is>
          <t>DN</t>
        </is>
      </c>
      <c r="D4" s="3" t="inlineStr">
        <is>
          <t>Dikte
(mm)</t>
        </is>
      </c>
      <c r="E4" s="3" t="inlineStr">
        <is>
          <t>Lengte geïmpr.
(m)</t>
        </is>
      </c>
      <c r="F4" s="3" t="inlineStr">
        <is>
          <t>Omslaan
(m)</t>
        </is>
      </c>
      <c r="G4" s="3" t="inlineStr">
        <is>
          <t>Droge kous
(m)</t>
        </is>
      </c>
      <c r="H4" s="3" t="inlineStr">
        <is>
          <t># Eind-
stuk</t>
        </is>
      </c>
      <c r="I4" s="3" t="inlineStr">
        <is>
          <t># Om-
slaan</t>
        </is>
      </c>
      <c r="J4" s="3" t="inlineStr">
        <is>
          <t># Ver-
loop</t>
        </is>
      </c>
      <c r="K4" s="3" t="inlineStr">
        <is>
          <t>Korte lengte
toeslag (€)</t>
        </is>
      </c>
      <c r="L4" s="3" t="inlineStr">
        <is>
          <t>€/m
impregn.</t>
        </is>
      </c>
      <c r="M4" s="3" t="inlineStr">
        <is>
          <t>Kosten
impregnatie</t>
        </is>
      </c>
      <c r="N4" s="3" t="inlineStr">
        <is>
          <t>€/m
droog</t>
        </is>
      </c>
      <c r="O4" s="3" t="inlineStr">
        <is>
          <t>Kosten
droge kous</t>
        </is>
      </c>
      <c r="P4" s="3" t="inlineStr">
        <is>
          <t>Kosten
eindstuk</t>
        </is>
      </c>
      <c r="Q4" s="3" t="inlineStr">
        <is>
          <t>Kosten
omslaan</t>
        </is>
      </c>
      <c r="R4" s="3" t="inlineStr">
        <is>
          <t>Kosten
verloop</t>
        </is>
      </c>
      <c r="S4" s="3" t="inlineStr">
        <is>
          <t>Korte
lengte</t>
        </is>
      </c>
      <c r="T4" s="3" t="inlineStr">
        <is>
          <t>TOTAAL
per kous</t>
        </is>
      </c>
      <c r="V4" s="4" t="inlineStr">
        <is>
          <t>SAMENVATTING</t>
        </is>
      </c>
    </row>
    <row r="5">
      <c r="A5" s="5" t="inlineStr">
        <is>
          <t>501</t>
        </is>
      </c>
      <c r="B5" s="5" t="inlineStr">
        <is>
          <t>schansbaan, 18D0543↦18D0546</t>
        </is>
      </c>
      <c r="C5" s="6" t="n">
        <v>250</v>
      </c>
      <c r="D5" s="6" t="n">
        <v>6</v>
      </c>
      <c r="E5" s="7" t="n">
        <v>121.8</v>
      </c>
      <c r="F5" s="7" t="n">
        <v>4.75</v>
      </c>
      <c r="G5" s="8">
        <f>IF(ISNUMBER(F5),F5+Instellingen!$B$5,"")</f>
        <v/>
      </c>
      <c r="H5" s="6" t="n">
        <v>1</v>
      </c>
      <c r="I5" s="6" t="n">
        <v>1</v>
      </c>
      <c r="J5" s="6" t="n">
        <v>0</v>
      </c>
      <c r="K5" s="9" t="n"/>
      <c r="L5" s="10">
        <f>IFERROR(INDEX(Impregnatie!$B$4:$O$25,MATCH(C5,Impregnatie!$A$4:$A$25,0),MATCH(D5,Impregnatie!$B$3:$O$3,0))*(1+Instellingen!$B$4),"")</f>
        <v/>
      </c>
      <c r="M5" s="10">
        <f>IF(AND(ISNUMBER(E5),ISNUMBER(L5)),E5*L5,0)</f>
        <v/>
      </c>
      <c r="N5" s="10">
        <f>IFERROR(INDEX('Droge kous'!$B$4:$T$33,MATCH(C5,'Droge kous'!$A$4:$A$33,0),MATCH(D5,'Droge kous'!$B$3:$T$3,0)),"")</f>
        <v/>
      </c>
      <c r="O5" s="10">
        <f>IF(AND(ISNUMBER(G5),ISNUMBER(N5)),G5*N5,0)</f>
        <v/>
      </c>
      <c r="P5" s="10">
        <f>IF(ISNUMBER(C5),IFERROR(N(H5)*VLOOKUP(C5,Sundry!$A$4:$G$20,4,TRUE),0),0)</f>
        <v/>
      </c>
      <c r="Q5" s="10">
        <f>IF(ISNUMBER(C5),IFERROR(N(I5)*VLOOKUP(C5,Sundry!$A$4:$G$20,5,TRUE),0),0)</f>
        <v/>
      </c>
      <c r="R5" s="10">
        <f>IF(ISNUMBER(C5),IFERROR(N(J5)*VLOOKUP(C5,Sundry!$A$4:$G$20,3,TRUE),0),0)</f>
        <v/>
      </c>
      <c r="S5" s="10">
        <f>N(K5)</f>
        <v/>
      </c>
      <c r="T5" s="11">
        <f>M5+O5+P5+Q5+R5+S5</f>
        <v/>
      </c>
      <c r="V5" s="12" t="inlineStr">
        <is>
          <t>Aantal kousen</t>
        </is>
      </c>
      <c r="W5" s="13">
        <f>COUNT(C5:C74)</f>
        <v/>
      </c>
    </row>
    <row r="6">
      <c r="A6" s="5" t="inlineStr">
        <is>
          <t>502</t>
        </is>
      </c>
      <c r="B6" s="5" t="inlineStr">
        <is>
          <t>semsschans, 18D0553↦18D0557</t>
        </is>
      </c>
      <c r="C6" s="6" t="n">
        <v>250</v>
      </c>
      <c r="D6" s="6" t="n">
        <v>6</v>
      </c>
      <c r="E6" s="7" t="n">
        <v>30.6</v>
      </c>
      <c r="F6" s="7" t="n">
        <v>4.34</v>
      </c>
      <c r="G6" s="8">
        <f>IF(ISNUMBER(F6),F6+Instellingen!$B$5,"")</f>
        <v/>
      </c>
      <c r="H6" s="6" t="n">
        <v>1</v>
      </c>
      <c r="I6" s="6" t="n">
        <v>1</v>
      </c>
      <c r="J6" s="6" t="n">
        <v>0</v>
      </c>
      <c r="K6" s="9" t="n"/>
      <c r="L6" s="10">
        <f>IFERROR(INDEX(Impregnatie!$B$4:$O$25,MATCH(C6,Impregnatie!$A$4:$A$25,0),MATCH(D6,Impregnatie!$B$3:$O$3,0))*(1+Instellingen!$B$4),"")</f>
        <v/>
      </c>
      <c r="M6" s="10">
        <f>IF(AND(ISNUMBER(E6),ISNUMBER(L6)),E6*L6,0)</f>
        <v/>
      </c>
      <c r="N6" s="10">
        <f>IFERROR(INDEX('Droge kous'!$B$4:$T$33,MATCH(C6,'Droge kous'!$A$4:$A$33,0),MATCH(D6,'Droge kous'!$B$3:$T$3,0)),"")</f>
        <v/>
      </c>
      <c r="O6" s="10">
        <f>IF(AND(ISNUMBER(G6),ISNUMBER(N6)),G6*N6,0)</f>
        <v/>
      </c>
      <c r="P6" s="10">
        <f>IF(ISNUMBER(C6),IFERROR(N(H6)*VLOOKUP(C6,Sundry!$A$4:$G$20,4,TRUE),0),0)</f>
        <v/>
      </c>
      <c r="Q6" s="10">
        <f>IF(ISNUMBER(C6),IFERROR(N(I6)*VLOOKUP(C6,Sundry!$A$4:$G$20,5,TRUE),0),0)</f>
        <v/>
      </c>
      <c r="R6" s="10">
        <f>IF(ISNUMBER(C6),IFERROR(N(J6)*VLOOKUP(C6,Sundry!$A$4:$G$20,3,TRUE),0),0)</f>
        <v/>
      </c>
      <c r="S6" s="10">
        <f>N(K6)</f>
        <v/>
      </c>
      <c r="T6" s="11">
        <f>M6+O6+P6+Q6+R6+S6</f>
        <v/>
      </c>
      <c r="V6" s="12" t="inlineStr">
        <is>
          <t>Totaal impregnatie</t>
        </is>
      </c>
      <c r="W6" s="14">
        <f>M75</f>
        <v/>
      </c>
    </row>
    <row r="7">
      <c r="A7" s="5" t="inlineStr">
        <is>
          <t>503</t>
        </is>
      </c>
      <c r="B7" s="5" t="inlineStr">
        <is>
          <t>semsschans, 18D0554↦18D0552</t>
        </is>
      </c>
      <c r="C7" s="6" t="n">
        <v>250</v>
      </c>
      <c r="D7" s="6" t="n">
        <v>6</v>
      </c>
      <c r="E7" s="7" t="n">
        <v>60</v>
      </c>
      <c r="F7" s="7" t="n">
        <v>4.3</v>
      </c>
      <c r="G7" s="8">
        <f>IF(ISNUMBER(F7),F7+Instellingen!$B$5,"")</f>
        <v/>
      </c>
      <c r="H7" s="6" t="n">
        <v>1</v>
      </c>
      <c r="I7" s="6" t="n">
        <v>1</v>
      </c>
      <c r="J7" s="6" t="n">
        <v>0</v>
      </c>
      <c r="K7" s="9" t="n"/>
      <c r="L7" s="10">
        <f>IFERROR(INDEX(Impregnatie!$B$4:$O$25,MATCH(C7,Impregnatie!$A$4:$A$25,0),MATCH(D7,Impregnatie!$B$3:$O$3,0))*(1+Instellingen!$B$4),"")</f>
        <v/>
      </c>
      <c r="M7" s="10">
        <f>IF(AND(ISNUMBER(E7),ISNUMBER(L7)),E7*L7,0)</f>
        <v/>
      </c>
      <c r="N7" s="10">
        <f>IFERROR(INDEX('Droge kous'!$B$4:$T$33,MATCH(C7,'Droge kous'!$A$4:$A$33,0),MATCH(D7,'Droge kous'!$B$3:$T$3,0)),"")</f>
        <v/>
      </c>
      <c r="O7" s="10">
        <f>IF(AND(ISNUMBER(G7),ISNUMBER(N7)),G7*N7,0)</f>
        <v/>
      </c>
      <c r="P7" s="10">
        <f>IF(ISNUMBER(C7),IFERROR(N(H7)*VLOOKUP(C7,Sundry!$A$4:$G$20,4,TRUE),0),0)</f>
        <v/>
      </c>
      <c r="Q7" s="10">
        <f>IF(ISNUMBER(C7),IFERROR(N(I7)*VLOOKUP(C7,Sundry!$A$4:$G$20,5,TRUE),0),0)</f>
        <v/>
      </c>
      <c r="R7" s="10">
        <f>IF(ISNUMBER(C7),IFERROR(N(J7)*VLOOKUP(C7,Sundry!$A$4:$G$20,3,TRUE),0),0)</f>
        <v/>
      </c>
      <c r="S7" s="10">
        <f>N(K7)</f>
        <v/>
      </c>
      <c r="T7" s="11">
        <f>M7+O7+P7+Q7+R7+S7</f>
        <v/>
      </c>
      <c r="V7" s="12" t="inlineStr">
        <is>
          <t>Totaal droge kous</t>
        </is>
      </c>
      <c r="W7" s="14">
        <f>O75</f>
        <v/>
      </c>
    </row>
    <row r="8">
      <c r="A8" s="5" t="inlineStr">
        <is>
          <t>504</t>
        </is>
      </c>
      <c r="B8" s="5" t="inlineStr">
        <is>
          <t>van rijswijckschans, 18D0461↦18D0419</t>
        </is>
      </c>
      <c r="C8" s="6" t="n">
        <v>250</v>
      </c>
      <c r="D8" s="6" t="n">
        <v>6</v>
      </c>
      <c r="E8" s="7" t="n">
        <v>104.7</v>
      </c>
      <c r="F8" s="7" t="n">
        <v>4.44</v>
      </c>
      <c r="G8" s="8">
        <f>IF(ISNUMBER(F8),F8+Instellingen!$B$5,"")</f>
        <v/>
      </c>
      <c r="H8" s="6" t="n">
        <v>1</v>
      </c>
      <c r="I8" s="6" t="n">
        <v>1</v>
      </c>
      <c r="J8" s="6" t="n">
        <v>0</v>
      </c>
      <c r="K8" s="9" t="n"/>
      <c r="L8" s="10">
        <f>IFERROR(INDEX(Impregnatie!$B$4:$O$25,MATCH(C8,Impregnatie!$A$4:$A$25,0),MATCH(D8,Impregnatie!$B$3:$O$3,0))*(1+Instellingen!$B$4),"")</f>
        <v/>
      </c>
      <c r="M8" s="10">
        <f>IF(AND(ISNUMBER(E8),ISNUMBER(L8)),E8*L8,0)</f>
        <v/>
      </c>
      <c r="N8" s="10">
        <f>IFERROR(INDEX('Droge kous'!$B$4:$T$33,MATCH(C8,'Droge kous'!$A$4:$A$33,0),MATCH(D8,'Droge kous'!$B$3:$T$3,0)),"")</f>
        <v/>
      </c>
      <c r="O8" s="10">
        <f>IF(AND(ISNUMBER(G8),ISNUMBER(N8)),G8*N8,0)</f>
        <v/>
      </c>
      <c r="P8" s="10">
        <f>IF(ISNUMBER(C8),IFERROR(N(H8)*VLOOKUP(C8,Sundry!$A$4:$G$20,4,TRUE),0),0)</f>
        <v/>
      </c>
      <c r="Q8" s="10">
        <f>IF(ISNUMBER(C8),IFERROR(N(I8)*VLOOKUP(C8,Sundry!$A$4:$G$20,5,TRUE),0),0)</f>
        <v/>
      </c>
      <c r="R8" s="10">
        <f>IF(ISNUMBER(C8),IFERROR(N(J8)*VLOOKUP(C8,Sundry!$A$4:$G$20,3,TRUE),0),0)</f>
        <v/>
      </c>
      <c r="S8" s="10">
        <f>N(K8)</f>
        <v/>
      </c>
      <c r="T8" s="11">
        <f>M8+O8+P8+Q8+R8+S8</f>
        <v/>
      </c>
      <c r="V8" s="12" t="inlineStr">
        <is>
          <t>Totaal eindstukken</t>
        </is>
      </c>
      <c r="W8" s="14">
        <f>P75</f>
        <v/>
      </c>
    </row>
    <row r="9">
      <c r="A9" s="5" t="inlineStr">
        <is>
          <t>505</t>
        </is>
      </c>
      <c r="B9" s="5" t="inlineStr">
        <is>
          <t>van rijswijckschans, 18D0456↦18D0461</t>
        </is>
      </c>
      <c r="C9" s="6" t="n">
        <v>250</v>
      </c>
      <c r="D9" s="6" t="n">
        <v>6</v>
      </c>
      <c r="E9" s="7" t="n">
        <v>67.3</v>
      </c>
      <c r="F9" s="7" t="n">
        <v>4.61</v>
      </c>
      <c r="G9" s="8">
        <f>IF(ISNUMBER(F9),F9+Instellingen!$B$5,"")</f>
        <v/>
      </c>
      <c r="H9" s="6" t="n">
        <v>1</v>
      </c>
      <c r="I9" s="6" t="n">
        <v>1</v>
      </c>
      <c r="J9" s="6" t="n">
        <v>0</v>
      </c>
      <c r="K9" s="9" t="n"/>
      <c r="L9" s="10">
        <f>IFERROR(INDEX(Impregnatie!$B$4:$O$25,MATCH(C9,Impregnatie!$A$4:$A$25,0),MATCH(D9,Impregnatie!$B$3:$O$3,0))*(1+Instellingen!$B$4),"")</f>
        <v/>
      </c>
      <c r="M9" s="10">
        <f>IF(AND(ISNUMBER(E9),ISNUMBER(L9)),E9*L9,0)</f>
        <v/>
      </c>
      <c r="N9" s="10">
        <f>IFERROR(INDEX('Droge kous'!$B$4:$T$33,MATCH(C9,'Droge kous'!$A$4:$A$33,0),MATCH(D9,'Droge kous'!$B$3:$T$3,0)),"")</f>
        <v/>
      </c>
      <c r="O9" s="10">
        <f>IF(AND(ISNUMBER(G9),ISNUMBER(N9)),G9*N9,0)</f>
        <v/>
      </c>
      <c r="P9" s="10">
        <f>IF(ISNUMBER(C9),IFERROR(N(H9)*VLOOKUP(C9,Sundry!$A$4:$G$20,4,TRUE),0),0)</f>
        <v/>
      </c>
      <c r="Q9" s="10">
        <f>IF(ISNUMBER(C9),IFERROR(N(I9)*VLOOKUP(C9,Sundry!$A$4:$G$20,5,TRUE),0),0)</f>
        <v/>
      </c>
      <c r="R9" s="10">
        <f>IF(ISNUMBER(C9),IFERROR(N(J9)*VLOOKUP(C9,Sundry!$A$4:$G$20,3,TRUE),0),0)</f>
        <v/>
      </c>
      <c r="S9" s="10">
        <f>N(K9)</f>
        <v/>
      </c>
      <c r="T9" s="11">
        <f>M9+O9+P9+Q9+R9+S9</f>
        <v/>
      </c>
      <c r="V9" s="12" t="inlineStr">
        <is>
          <t>Totaal omslaan</t>
        </is>
      </c>
      <c r="W9" s="14">
        <f>Q75</f>
        <v/>
      </c>
    </row>
    <row r="10">
      <c r="A10" s="5" t="inlineStr">
        <is>
          <t>506</t>
        </is>
      </c>
      <c r="B10" s="5" t="inlineStr">
        <is>
          <t>van rijswijckschans, 18D0459↦18D0460</t>
        </is>
      </c>
      <c r="C10" s="6" t="n">
        <v>250</v>
      </c>
      <c r="D10" s="6" t="n">
        <v>6</v>
      </c>
      <c r="E10" s="7" t="n">
        <v>42.1</v>
      </c>
      <c r="F10" s="7" t="n">
        <v>4.35</v>
      </c>
      <c r="G10" s="8">
        <f>IF(ISNUMBER(F10),F10+Instellingen!$B$5,"")</f>
        <v/>
      </c>
      <c r="H10" s="6" t="n">
        <v>1</v>
      </c>
      <c r="I10" s="6" t="n">
        <v>1</v>
      </c>
      <c r="J10" s="6" t="n">
        <v>0</v>
      </c>
      <c r="K10" s="9" t="n"/>
      <c r="L10" s="10">
        <f>IFERROR(INDEX(Impregnatie!$B$4:$O$25,MATCH(C10,Impregnatie!$A$4:$A$25,0),MATCH(D10,Impregnatie!$B$3:$O$3,0))*(1+Instellingen!$B$4),"")</f>
        <v/>
      </c>
      <c r="M10" s="10">
        <f>IF(AND(ISNUMBER(E10),ISNUMBER(L10)),E10*L10,0)</f>
        <v/>
      </c>
      <c r="N10" s="10">
        <f>IFERROR(INDEX('Droge kous'!$B$4:$T$33,MATCH(C10,'Droge kous'!$A$4:$A$33,0),MATCH(D10,'Droge kous'!$B$3:$T$3,0)),"")</f>
        <v/>
      </c>
      <c r="O10" s="10">
        <f>IF(AND(ISNUMBER(G10),ISNUMBER(N10)),G10*N10,0)</f>
        <v/>
      </c>
      <c r="P10" s="10">
        <f>IF(ISNUMBER(C10),IFERROR(N(H10)*VLOOKUP(C10,Sundry!$A$4:$G$20,4,TRUE),0),0)</f>
        <v/>
      </c>
      <c r="Q10" s="10">
        <f>IF(ISNUMBER(C10),IFERROR(N(I10)*VLOOKUP(C10,Sundry!$A$4:$G$20,5,TRUE),0),0)</f>
        <v/>
      </c>
      <c r="R10" s="10">
        <f>IF(ISNUMBER(C10),IFERROR(N(J10)*VLOOKUP(C10,Sundry!$A$4:$G$20,3,TRUE),0),0)</f>
        <v/>
      </c>
      <c r="S10" s="10">
        <f>N(K10)</f>
        <v/>
      </c>
      <c r="T10" s="11">
        <f>M10+O10+P10+Q10+R10+S10</f>
        <v/>
      </c>
      <c r="V10" s="12" t="inlineStr">
        <is>
          <t>Totaal verloop</t>
        </is>
      </c>
      <c r="W10" s="14">
        <f>R75</f>
        <v/>
      </c>
    </row>
    <row r="11">
      <c r="A11" s="5" t="inlineStr">
        <is>
          <t>507</t>
        </is>
      </c>
      <c r="B11" s="5" t="inlineStr">
        <is>
          <t>van rijswijckschans, 18D0456↦18D0455</t>
        </is>
      </c>
      <c r="C11" s="6" t="n">
        <v>250</v>
      </c>
      <c r="D11" s="6" t="n">
        <v>6</v>
      </c>
      <c r="E11" s="7" t="n">
        <v>35.4</v>
      </c>
      <c r="F11" s="7" t="n">
        <v>4.61</v>
      </c>
      <c r="G11" s="8">
        <f>IF(ISNUMBER(F11),F11+Instellingen!$B$5,"")</f>
        <v/>
      </c>
      <c r="H11" s="6" t="n">
        <v>1</v>
      </c>
      <c r="I11" s="6" t="n">
        <v>1</v>
      </c>
      <c r="J11" s="6" t="n">
        <v>0</v>
      </c>
      <c r="K11" s="9" t="n"/>
      <c r="L11" s="10">
        <f>IFERROR(INDEX(Impregnatie!$B$4:$O$25,MATCH(C11,Impregnatie!$A$4:$A$25,0),MATCH(D11,Impregnatie!$B$3:$O$3,0))*(1+Instellingen!$B$4),"")</f>
        <v/>
      </c>
      <c r="M11" s="10">
        <f>IF(AND(ISNUMBER(E11),ISNUMBER(L11)),E11*L11,0)</f>
        <v/>
      </c>
      <c r="N11" s="10">
        <f>IFERROR(INDEX('Droge kous'!$B$4:$T$33,MATCH(C11,'Droge kous'!$A$4:$A$33,0),MATCH(D11,'Droge kous'!$B$3:$T$3,0)),"")</f>
        <v/>
      </c>
      <c r="O11" s="10">
        <f>IF(AND(ISNUMBER(G11),ISNUMBER(N11)),G11*N11,0)</f>
        <v/>
      </c>
      <c r="P11" s="10">
        <f>IF(ISNUMBER(C11),IFERROR(N(H11)*VLOOKUP(C11,Sundry!$A$4:$G$20,4,TRUE),0),0)</f>
        <v/>
      </c>
      <c r="Q11" s="10">
        <f>IF(ISNUMBER(C11),IFERROR(N(I11)*VLOOKUP(C11,Sundry!$A$4:$G$20,5,TRUE),0),0)</f>
        <v/>
      </c>
      <c r="R11" s="10">
        <f>IF(ISNUMBER(C11),IFERROR(N(J11)*VLOOKUP(C11,Sundry!$A$4:$G$20,3,TRUE),0),0)</f>
        <v/>
      </c>
      <c r="S11" s="10">
        <f>N(K11)</f>
        <v/>
      </c>
      <c r="T11" s="11">
        <f>M11+O11+P11+Q11+R11+S11</f>
        <v/>
      </c>
      <c r="V11" s="12" t="inlineStr">
        <is>
          <t>Totaal korte lengte</t>
        </is>
      </c>
      <c r="W11" s="14">
        <f>S75</f>
        <v/>
      </c>
    </row>
    <row r="12">
      <c r="A12" s="5" t="inlineStr">
        <is>
          <t>508</t>
        </is>
      </c>
      <c r="B12" s="5" t="inlineStr">
        <is>
          <t>offerhausschans, 18D0447↦18D0449</t>
        </is>
      </c>
      <c r="C12" s="6" t="n">
        <v>250</v>
      </c>
      <c r="D12" s="6" t="n">
        <v>6</v>
      </c>
      <c r="E12" s="7" t="n">
        <v>41.1</v>
      </c>
      <c r="F12" s="7" t="n">
        <v>4.29</v>
      </c>
      <c r="G12" s="8">
        <f>IF(ISNUMBER(F12),F12+Instellingen!$B$5,"")</f>
        <v/>
      </c>
      <c r="H12" s="6" t="n">
        <v>1</v>
      </c>
      <c r="I12" s="6" t="n">
        <v>1</v>
      </c>
      <c r="J12" s="6" t="n">
        <v>0</v>
      </c>
      <c r="K12" s="9" t="n"/>
      <c r="L12" s="10">
        <f>IFERROR(INDEX(Impregnatie!$B$4:$O$25,MATCH(C12,Impregnatie!$A$4:$A$25,0),MATCH(D12,Impregnatie!$B$3:$O$3,0))*(1+Instellingen!$B$4),"")</f>
        <v/>
      </c>
      <c r="M12" s="10">
        <f>IF(AND(ISNUMBER(E12),ISNUMBER(L12)),E12*L12,0)</f>
        <v/>
      </c>
      <c r="N12" s="10">
        <f>IFERROR(INDEX('Droge kous'!$B$4:$T$33,MATCH(C12,'Droge kous'!$A$4:$A$33,0),MATCH(D12,'Droge kous'!$B$3:$T$3,0)),"")</f>
        <v/>
      </c>
      <c r="O12" s="10">
        <f>IF(AND(ISNUMBER(G12),ISNUMBER(N12)),G12*N12,0)</f>
        <v/>
      </c>
      <c r="P12" s="10">
        <f>IF(ISNUMBER(C12),IFERROR(N(H12)*VLOOKUP(C12,Sundry!$A$4:$G$20,4,TRUE),0),0)</f>
        <v/>
      </c>
      <c r="Q12" s="10">
        <f>IF(ISNUMBER(C12),IFERROR(N(I12)*VLOOKUP(C12,Sundry!$A$4:$G$20,5,TRUE),0),0)</f>
        <v/>
      </c>
      <c r="R12" s="10">
        <f>IF(ISNUMBER(C12),IFERROR(N(J12)*VLOOKUP(C12,Sundry!$A$4:$G$20,3,TRUE),0),0)</f>
        <v/>
      </c>
      <c r="S12" s="10">
        <f>N(K12)</f>
        <v/>
      </c>
      <c r="T12" s="11">
        <f>M12+O12+P12+Q12+R12+S12</f>
        <v/>
      </c>
      <c r="V12" s="15" t="inlineStr">
        <is>
          <t>TOTAAL EXCL. BTW</t>
        </is>
      </c>
      <c r="W12" s="16">
        <f>T75</f>
        <v/>
      </c>
    </row>
    <row r="13">
      <c r="A13" s="5" t="inlineStr">
        <is>
          <t>509</t>
        </is>
      </c>
      <c r="B13" s="5" t="inlineStr">
        <is>
          <t>pelschans, 18D0466↦18D0468</t>
        </is>
      </c>
      <c r="C13" s="6" t="n">
        <v>250</v>
      </c>
      <c r="D13" s="6" t="n">
        <v>6</v>
      </c>
      <c r="E13" s="7" t="n">
        <v>90.40000000000001</v>
      </c>
      <c r="F13" s="7" t="n">
        <v>4.47</v>
      </c>
      <c r="G13" s="8">
        <f>IF(ISNUMBER(F13),F13+Instellingen!$B$5,"")</f>
        <v/>
      </c>
      <c r="H13" s="6" t="n">
        <v>1</v>
      </c>
      <c r="I13" s="6" t="n">
        <v>1</v>
      </c>
      <c r="J13" s="6" t="n">
        <v>0</v>
      </c>
      <c r="K13" s="9" t="n"/>
      <c r="L13" s="10">
        <f>IFERROR(INDEX(Impregnatie!$B$4:$O$25,MATCH(C13,Impregnatie!$A$4:$A$25,0),MATCH(D13,Impregnatie!$B$3:$O$3,0))*(1+Instellingen!$B$4),"")</f>
        <v/>
      </c>
      <c r="M13" s="10">
        <f>IF(AND(ISNUMBER(E13),ISNUMBER(L13)),E13*L13,0)</f>
        <v/>
      </c>
      <c r="N13" s="10">
        <f>IFERROR(INDEX('Droge kous'!$B$4:$T$33,MATCH(C13,'Droge kous'!$A$4:$A$33,0),MATCH(D13,'Droge kous'!$B$3:$T$3,0)),"")</f>
        <v/>
      </c>
      <c r="O13" s="10">
        <f>IF(AND(ISNUMBER(G13),ISNUMBER(N13)),G13*N13,0)</f>
        <v/>
      </c>
      <c r="P13" s="10">
        <f>IF(ISNUMBER(C13),IFERROR(N(H13)*VLOOKUP(C13,Sundry!$A$4:$G$20,4,TRUE),0),0)</f>
        <v/>
      </c>
      <c r="Q13" s="10">
        <f>IF(ISNUMBER(C13),IFERROR(N(I13)*VLOOKUP(C13,Sundry!$A$4:$G$20,5,TRUE),0),0)</f>
        <v/>
      </c>
      <c r="R13" s="10">
        <f>IF(ISNUMBER(C13),IFERROR(N(J13)*VLOOKUP(C13,Sundry!$A$4:$G$20,3,TRUE),0),0)</f>
        <v/>
      </c>
      <c r="S13" s="10">
        <f>N(K13)</f>
        <v/>
      </c>
      <c r="T13" s="11">
        <f>M13+O13+P13+Q13+R13+S13</f>
        <v/>
      </c>
    </row>
    <row r="14">
      <c r="A14" s="5" t="inlineStr">
        <is>
          <t>510</t>
        </is>
      </c>
      <c r="B14" s="5" t="inlineStr">
        <is>
          <t>merkesschans, 18D0387↦18D0394</t>
        </is>
      </c>
      <c r="C14" s="6" t="n">
        <v>250</v>
      </c>
      <c r="D14" s="6" t="n">
        <v>6</v>
      </c>
      <c r="E14" s="7" t="n">
        <v>133.9</v>
      </c>
      <c r="F14" s="7" t="n">
        <v>4.8</v>
      </c>
      <c r="G14" s="8">
        <f>IF(ISNUMBER(F14),F14+Instellingen!$B$5,"")</f>
        <v/>
      </c>
      <c r="H14" s="6" t="n">
        <v>1</v>
      </c>
      <c r="I14" s="6" t="n">
        <v>1</v>
      </c>
      <c r="J14" s="6" t="n">
        <v>0</v>
      </c>
      <c r="K14" s="9" t="n"/>
      <c r="L14" s="10">
        <f>IFERROR(INDEX(Impregnatie!$B$4:$O$25,MATCH(C14,Impregnatie!$A$4:$A$25,0),MATCH(D14,Impregnatie!$B$3:$O$3,0))*(1+Instellingen!$B$4),"")</f>
        <v/>
      </c>
      <c r="M14" s="10">
        <f>IF(AND(ISNUMBER(E14),ISNUMBER(L14)),E14*L14,0)</f>
        <v/>
      </c>
      <c r="N14" s="10">
        <f>IFERROR(INDEX('Droge kous'!$B$4:$T$33,MATCH(C14,'Droge kous'!$A$4:$A$33,0),MATCH(D14,'Droge kous'!$B$3:$T$3,0)),"")</f>
        <v/>
      </c>
      <c r="O14" s="10">
        <f>IF(AND(ISNUMBER(G14),ISNUMBER(N14)),G14*N14,0)</f>
        <v/>
      </c>
      <c r="P14" s="10">
        <f>IF(ISNUMBER(C14),IFERROR(N(H14)*VLOOKUP(C14,Sundry!$A$4:$G$20,4,TRUE),0),0)</f>
        <v/>
      </c>
      <c r="Q14" s="10">
        <f>IF(ISNUMBER(C14),IFERROR(N(I14)*VLOOKUP(C14,Sundry!$A$4:$G$20,5,TRUE),0),0)</f>
        <v/>
      </c>
      <c r="R14" s="10">
        <f>IF(ISNUMBER(C14),IFERROR(N(J14)*VLOOKUP(C14,Sundry!$A$4:$G$20,3,TRUE),0),0)</f>
        <v/>
      </c>
      <c r="S14" s="10">
        <f>N(K14)</f>
        <v/>
      </c>
      <c r="T14" s="11">
        <f>M14+O14+P14+Q14+R14+S14</f>
        <v/>
      </c>
    </row>
    <row r="15">
      <c r="A15" s="5" t="inlineStr">
        <is>
          <t>511</t>
        </is>
      </c>
      <c r="B15" s="5" t="inlineStr">
        <is>
          <t>klinckaertschans, 18D0401↦18D0399</t>
        </is>
      </c>
      <c r="C15" s="6" t="n">
        <v>250</v>
      </c>
      <c r="D15" s="6" t="n">
        <v>6</v>
      </c>
      <c r="E15" s="7" t="n">
        <v>92.3</v>
      </c>
      <c r="F15" s="7" t="n">
        <v>4.36</v>
      </c>
      <c r="G15" s="8">
        <f>IF(ISNUMBER(F15),F15+Instellingen!$B$5,"")</f>
        <v/>
      </c>
      <c r="H15" s="6" t="n">
        <v>1</v>
      </c>
      <c r="I15" s="6" t="n">
        <v>1</v>
      </c>
      <c r="J15" s="6" t="n">
        <v>0</v>
      </c>
      <c r="K15" s="9" t="n"/>
      <c r="L15" s="10">
        <f>IFERROR(INDEX(Impregnatie!$B$4:$O$25,MATCH(C15,Impregnatie!$A$4:$A$25,0),MATCH(D15,Impregnatie!$B$3:$O$3,0))*(1+Instellingen!$B$4),"")</f>
        <v/>
      </c>
      <c r="M15" s="10">
        <f>IF(AND(ISNUMBER(E15),ISNUMBER(L15)),E15*L15,0)</f>
        <v/>
      </c>
      <c r="N15" s="10">
        <f>IFERROR(INDEX('Droge kous'!$B$4:$T$33,MATCH(C15,'Droge kous'!$A$4:$A$33,0),MATCH(D15,'Droge kous'!$B$3:$T$3,0)),"")</f>
        <v/>
      </c>
      <c r="O15" s="10">
        <f>IF(AND(ISNUMBER(G15),ISNUMBER(N15)),G15*N15,0)</f>
        <v/>
      </c>
      <c r="P15" s="10">
        <f>IF(ISNUMBER(C15),IFERROR(N(H15)*VLOOKUP(C15,Sundry!$A$4:$G$20,4,TRUE),0),0)</f>
        <v/>
      </c>
      <c r="Q15" s="10">
        <f>IF(ISNUMBER(C15),IFERROR(N(I15)*VLOOKUP(C15,Sundry!$A$4:$G$20,5,TRUE),0),0)</f>
        <v/>
      </c>
      <c r="R15" s="10">
        <f>IF(ISNUMBER(C15),IFERROR(N(J15)*VLOOKUP(C15,Sundry!$A$4:$G$20,3,TRUE),0),0)</f>
        <v/>
      </c>
      <c r="S15" s="10">
        <f>N(K15)</f>
        <v/>
      </c>
      <c r="T15" s="11">
        <f>M15+O15+P15+Q15+R15+S15</f>
        <v/>
      </c>
    </row>
    <row r="16">
      <c r="A16" s="5" t="inlineStr">
        <is>
          <t>512</t>
        </is>
      </c>
      <c r="B16" s="5" t="inlineStr">
        <is>
          <t>lijnbaan, 18D0138↦18D0142</t>
        </is>
      </c>
      <c r="C16" s="6" t="n">
        <v>250</v>
      </c>
      <c r="D16" s="6" t="n">
        <v>6</v>
      </c>
      <c r="E16" s="7" t="n">
        <v>124.6</v>
      </c>
      <c r="F16" s="7" t="n">
        <v>4.6</v>
      </c>
      <c r="G16" s="8">
        <f>IF(ISNUMBER(F16),F16+Instellingen!$B$5,"")</f>
        <v/>
      </c>
      <c r="H16" s="6" t="n">
        <v>1</v>
      </c>
      <c r="I16" s="6" t="n">
        <v>1</v>
      </c>
      <c r="J16" s="6" t="n">
        <v>0</v>
      </c>
      <c r="K16" s="9" t="n"/>
      <c r="L16" s="10">
        <f>IFERROR(INDEX(Impregnatie!$B$4:$O$25,MATCH(C16,Impregnatie!$A$4:$A$25,0),MATCH(D16,Impregnatie!$B$3:$O$3,0))*(1+Instellingen!$B$4),"")</f>
        <v/>
      </c>
      <c r="M16" s="10">
        <f>IF(AND(ISNUMBER(E16),ISNUMBER(L16)),E16*L16,0)</f>
        <v/>
      </c>
      <c r="N16" s="10">
        <f>IFERROR(INDEX('Droge kous'!$B$4:$T$33,MATCH(C16,'Droge kous'!$A$4:$A$33,0),MATCH(D16,'Droge kous'!$B$3:$T$3,0)),"")</f>
        <v/>
      </c>
      <c r="O16" s="10">
        <f>IF(AND(ISNUMBER(G16),ISNUMBER(N16)),G16*N16,0)</f>
        <v/>
      </c>
      <c r="P16" s="10">
        <f>IF(ISNUMBER(C16),IFERROR(N(H16)*VLOOKUP(C16,Sundry!$A$4:$G$20,4,TRUE),0),0)</f>
        <v/>
      </c>
      <c r="Q16" s="10">
        <f>IF(ISNUMBER(C16),IFERROR(N(I16)*VLOOKUP(C16,Sundry!$A$4:$G$20,5,TRUE),0),0)</f>
        <v/>
      </c>
      <c r="R16" s="10">
        <f>IF(ISNUMBER(C16),IFERROR(N(J16)*VLOOKUP(C16,Sundry!$A$4:$G$20,3,TRUE),0),0)</f>
        <v/>
      </c>
      <c r="S16" s="10">
        <f>N(K16)</f>
        <v/>
      </c>
      <c r="T16" s="11">
        <f>M16+O16+P16+Q16+R16+S16</f>
        <v/>
      </c>
    </row>
    <row r="17">
      <c r="A17" s="5" t="inlineStr">
        <is>
          <t>513</t>
        </is>
      </c>
      <c r="B17" s="5" t="inlineStr">
        <is>
          <t>van embdenruimte, 18D0138↦18D0137</t>
        </is>
      </c>
      <c r="C17" s="6" t="n">
        <v>250</v>
      </c>
      <c r="D17" s="6" t="n">
        <v>6</v>
      </c>
      <c r="E17" s="7" t="n">
        <v>67</v>
      </c>
      <c r="F17" s="7" t="n">
        <v>4.6</v>
      </c>
      <c r="G17" s="8">
        <f>IF(ISNUMBER(F17),F17+Instellingen!$B$5,"")</f>
        <v/>
      </c>
      <c r="H17" s="6" t="n">
        <v>1</v>
      </c>
      <c r="I17" s="6" t="n">
        <v>1</v>
      </c>
      <c r="J17" s="6" t="n">
        <v>0</v>
      </c>
      <c r="K17" s="9" t="n"/>
      <c r="L17" s="10">
        <f>IFERROR(INDEX(Impregnatie!$B$4:$O$25,MATCH(C17,Impregnatie!$A$4:$A$25,0),MATCH(D17,Impregnatie!$B$3:$O$3,0))*(1+Instellingen!$B$4),"")</f>
        <v/>
      </c>
      <c r="M17" s="10">
        <f>IF(AND(ISNUMBER(E17),ISNUMBER(L17)),E17*L17,0)</f>
        <v/>
      </c>
      <c r="N17" s="10">
        <f>IFERROR(INDEX('Droge kous'!$B$4:$T$33,MATCH(C17,'Droge kous'!$A$4:$A$33,0),MATCH(D17,'Droge kous'!$B$3:$T$3,0)),"")</f>
        <v/>
      </c>
      <c r="O17" s="10">
        <f>IF(AND(ISNUMBER(G17),ISNUMBER(N17)),G17*N17,0)</f>
        <v/>
      </c>
      <c r="P17" s="10">
        <f>IF(ISNUMBER(C17),IFERROR(N(H17)*VLOOKUP(C17,Sundry!$A$4:$G$20,4,TRUE),0),0)</f>
        <v/>
      </c>
      <c r="Q17" s="10">
        <f>IF(ISNUMBER(C17),IFERROR(N(I17)*VLOOKUP(C17,Sundry!$A$4:$G$20,5,TRUE),0),0)</f>
        <v/>
      </c>
      <c r="R17" s="10">
        <f>IF(ISNUMBER(C17),IFERROR(N(J17)*VLOOKUP(C17,Sundry!$A$4:$G$20,3,TRUE),0),0)</f>
        <v/>
      </c>
      <c r="S17" s="10">
        <f>N(K17)</f>
        <v/>
      </c>
      <c r="T17" s="11">
        <f>M17+O17+P17+Q17+R17+S17</f>
        <v/>
      </c>
    </row>
    <row r="18">
      <c r="A18" s="5" t="inlineStr">
        <is>
          <t>514</t>
        </is>
      </c>
      <c r="B18" s="5" t="inlineStr">
        <is>
          <t>van embdenruimte, 18D0130↦18D0137</t>
        </is>
      </c>
      <c r="C18" s="6" t="n">
        <v>250</v>
      </c>
      <c r="D18" s="6" t="n">
        <v>6</v>
      </c>
      <c r="E18" s="7" t="n">
        <v>120</v>
      </c>
      <c r="F18" s="7" t="n">
        <v>4.92</v>
      </c>
      <c r="G18" s="8">
        <f>IF(ISNUMBER(F18),F18+Instellingen!$B$5,"")</f>
        <v/>
      </c>
      <c r="H18" s="6" t="n">
        <v>1</v>
      </c>
      <c r="I18" s="6" t="n">
        <v>1</v>
      </c>
      <c r="J18" s="6" t="n">
        <v>0</v>
      </c>
      <c r="K18" s="9" t="n"/>
      <c r="L18" s="10">
        <f>IFERROR(INDEX(Impregnatie!$B$4:$O$25,MATCH(C18,Impregnatie!$A$4:$A$25,0),MATCH(D18,Impregnatie!$B$3:$O$3,0))*(1+Instellingen!$B$4),"")</f>
        <v/>
      </c>
      <c r="M18" s="10">
        <f>IF(AND(ISNUMBER(E18),ISNUMBER(L18)),E18*L18,0)</f>
        <v/>
      </c>
      <c r="N18" s="10">
        <f>IFERROR(INDEX('Droge kous'!$B$4:$T$33,MATCH(C18,'Droge kous'!$A$4:$A$33,0),MATCH(D18,'Droge kous'!$B$3:$T$3,0)),"")</f>
        <v/>
      </c>
      <c r="O18" s="10">
        <f>IF(AND(ISNUMBER(G18),ISNUMBER(N18)),G18*N18,0)</f>
        <v/>
      </c>
      <c r="P18" s="10">
        <f>IF(ISNUMBER(C18),IFERROR(N(H18)*VLOOKUP(C18,Sundry!$A$4:$G$20,4,TRUE),0),0)</f>
        <v/>
      </c>
      <c r="Q18" s="10">
        <f>IF(ISNUMBER(C18),IFERROR(N(I18)*VLOOKUP(C18,Sundry!$A$4:$G$20,5,TRUE),0),0)</f>
        <v/>
      </c>
      <c r="R18" s="10">
        <f>IF(ISNUMBER(C18),IFERROR(N(J18)*VLOOKUP(C18,Sundry!$A$4:$G$20,3,TRUE),0),0)</f>
        <v/>
      </c>
      <c r="S18" s="10">
        <f>N(K18)</f>
        <v/>
      </c>
      <c r="T18" s="11">
        <f>M18+O18+P18+Q18+R18+S18</f>
        <v/>
      </c>
    </row>
    <row r="19">
      <c r="A19" s="5" t="inlineStr">
        <is>
          <t>515</t>
        </is>
      </c>
      <c r="B19" s="5" t="inlineStr">
        <is>
          <t>griffinruimte, 18D0129↦18D0124</t>
        </is>
      </c>
      <c r="C19" s="6" t="n">
        <v>250</v>
      </c>
      <c r="D19" s="6" t="n">
        <v>6</v>
      </c>
      <c r="E19" s="7" t="n">
        <v>66.09999999999999</v>
      </c>
      <c r="F19" s="7" t="n">
        <v>4.67</v>
      </c>
      <c r="G19" s="8">
        <f>IF(ISNUMBER(F19),F19+Instellingen!$B$5,"")</f>
        <v/>
      </c>
      <c r="H19" s="6" t="n">
        <v>1</v>
      </c>
      <c r="I19" s="6" t="n">
        <v>1</v>
      </c>
      <c r="J19" s="6" t="n">
        <v>0</v>
      </c>
      <c r="K19" s="9" t="n"/>
      <c r="L19" s="10">
        <f>IFERROR(INDEX(Impregnatie!$B$4:$O$25,MATCH(C19,Impregnatie!$A$4:$A$25,0),MATCH(D19,Impregnatie!$B$3:$O$3,0))*(1+Instellingen!$B$4),"")</f>
        <v/>
      </c>
      <c r="M19" s="10">
        <f>IF(AND(ISNUMBER(E19),ISNUMBER(L19)),E19*L19,0)</f>
        <v/>
      </c>
      <c r="N19" s="10">
        <f>IFERROR(INDEX('Droge kous'!$B$4:$T$33,MATCH(C19,'Droge kous'!$A$4:$A$33,0),MATCH(D19,'Droge kous'!$B$3:$T$3,0)),"")</f>
        <v/>
      </c>
      <c r="O19" s="10">
        <f>IF(AND(ISNUMBER(G19),ISNUMBER(N19)),G19*N19,0)</f>
        <v/>
      </c>
      <c r="P19" s="10">
        <f>IF(ISNUMBER(C19),IFERROR(N(H19)*VLOOKUP(C19,Sundry!$A$4:$G$20,4,TRUE),0),0)</f>
        <v/>
      </c>
      <c r="Q19" s="10">
        <f>IF(ISNUMBER(C19),IFERROR(N(I19)*VLOOKUP(C19,Sundry!$A$4:$G$20,5,TRUE),0),0)</f>
        <v/>
      </c>
      <c r="R19" s="10">
        <f>IF(ISNUMBER(C19),IFERROR(N(J19)*VLOOKUP(C19,Sundry!$A$4:$G$20,3,TRUE),0),0)</f>
        <v/>
      </c>
      <c r="S19" s="10">
        <f>N(K19)</f>
        <v/>
      </c>
      <c r="T19" s="11">
        <f>M19+O19+P19+Q19+R19+S19</f>
        <v/>
      </c>
    </row>
    <row r="20">
      <c r="A20" s="5" t="inlineStr">
        <is>
          <t>516</t>
        </is>
      </c>
      <c r="B20" s="5" t="inlineStr">
        <is>
          <t>de boomgaard, 18D0549↦18D0427</t>
        </is>
      </c>
      <c r="C20" s="6" t="n">
        <v>250</v>
      </c>
      <c r="D20" s="6" t="n">
        <v>6</v>
      </c>
      <c r="E20" s="7" t="n">
        <v>14.2</v>
      </c>
      <c r="F20" s="7" t="n">
        <v>6.15</v>
      </c>
      <c r="G20" s="8">
        <f>IF(ISNUMBER(F20),F20+Instellingen!$B$5,"")</f>
        <v/>
      </c>
      <c r="H20" s="6" t="n">
        <v>1</v>
      </c>
      <c r="I20" s="6" t="n">
        <v>1</v>
      </c>
      <c r="J20" s="6" t="n">
        <v>0</v>
      </c>
      <c r="K20" s="9" t="n"/>
      <c r="L20" s="10">
        <f>IFERROR(INDEX(Impregnatie!$B$4:$O$25,MATCH(C20,Impregnatie!$A$4:$A$25,0),MATCH(D20,Impregnatie!$B$3:$O$3,0))*(1+Instellingen!$B$4),"")</f>
        <v/>
      </c>
      <c r="M20" s="10">
        <f>IF(AND(ISNUMBER(E20),ISNUMBER(L20)),E20*L20,0)</f>
        <v/>
      </c>
      <c r="N20" s="10">
        <f>IFERROR(INDEX('Droge kous'!$B$4:$T$33,MATCH(C20,'Droge kous'!$A$4:$A$33,0),MATCH(D20,'Droge kous'!$B$3:$T$3,0)),"")</f>
        <v/>
      </c>
      <c r="O20" s="10">
        <f>IF(AND(ISNUMBER(G20),ISNUMBER(N20)),G20*N20,0)</f>
        <v/>
      </c>
      <c r="P20" s="10">
        <f>IF(ISNUMBER(C20),IFERROR(N(H20)*VLOOKUP(C20,Sundry!$A$4:$G$20,4,TRUE),0),0)</f>
        <v/>
      </c>
      <c r="Q20" s="10">
        <f>IF(ISNUMBER(C20),IFERROR(N(I20)*VLOOKUP(C20,Sundry!$A$4:$G$20,5,TRUE),0),0)</f>
        <v/>
      </c>
      <c r="R20" s="10">
        <f>IF(ISNUMBER(C20),IFERROR(N(J20)*VLOOKUP(C20,Sundry!$A$4:$G$20,3,TRUE),0),0)</f>
        <v/>
      </c>
      <c r="S20" s="10">
        <f>N(K20)</f>
        <v/>
      </c>
      <c r="T20" s="11">
        <f>M20+O20+P20+Q20+R20+S20</f>
        <v/>
      </c>
    </row>
    <row r="21">
      <c r="A21" s="5" t="inlineStr">
        <is>
          <t>517</t>
        </is>
      </c>
      <c r="B21" s="5" t="inlineStr">
        <is>
          <t>schansbaan, 18D0549↦18D0548</t>
        </is>
      </c>
      <c r="C21" s="6" t="n">
        <v>250</v>
      </c>
      <c r="D21" s="6" t="n">
        <v>6</v>
      </c>
      <c r="E21" s="7" t="n">
        <v>49.2</v>
      </c>
      <c r="F21" s="7" t="n">
        <v>6.15</v>
      </c>
      <c r="G21" s="8">
        <f>IF(ISNUMBER(F21),F21+Instellingen!$B$5,"")</f>
        <v/>
      </c>
      <c r="H21" s="6" t="n">
        <v>1</v>
      </c>
      <c r="I21" s="6" t="n">
        <v>1</v>
      </c>
      <c r="J21" s="6" t="n">
        <v>0</v>
      </c>
      <c r="K21" s="9" t="n"/>
      <c r="L21" s="10">
        <f>IFERROR(INDEX(Impregnatie!$B$4:$O$25,MATCH(C21,Impregnatie!$A$4:$A$25,0),MATCH(D21,Impregnatie!$B$3:$O$3,0))*(1+Instellingen!$B$4),"")</f>
        <v/>
      </c>
      <c r="M21" s="10">
        <f>IF(AND(ISNUMBER(E21),ISNUMBER(L21)),E21*L21,0)</f>
        <v/>
      </c>
      <c r="N21" s="10">
        <f>IFERROR(INDEX('Droge kous'!$B$4:$T$33,MATCH(C21,'Droge kous'!$A$4:$A$33,0),MATCH(D21,'Droge kous'!$B$3:$T$3,0)),"")</f>
        <v/>
      </c>
      <c r="O21" s="10">
        <f>IF(AND(ISNUMBER(G21),ISNUMBER(N21)),G21*N21,0)</f>
        <v/>
      </c>
      <c r="P21" s="10">
        <f>IF(ISNUMBER(C21),IFERROR(N(H21)*VLOOKUP(C21,Sundry!$A$4:$G$20,4,TRUE),0),0)</f>
        <v/>
      </c>
      <c r="Q21" s="10">
        <f>IF(ISNUMBER(C21),IFERROR(N(I21)*VLOOKUP(C21,Sundry!$A$4:$G$20,5,TRUE),0),0)</f>
        <v/>
      </c>
      <c r="R21" s="10">
        <f>IF(ISNUMBER(C21),IFERROR(N(J21)*VLOOKUP(C21,Sundry!$A$4:$G$20,3,TRUE),0),0)</f>
        <v/>
      </c>
      <c r="S21" s="10">
        <f>N(K21)</f>
        <v/>
      </c>
      <c r="T21" s="11">
        <f>M21+O21+P21+Q21+R21+S21</f>
        <v/>
      </c>
    </row>
    <row r="22">
      <c r="A22" s="5" t="inlineStr">
        <is>
          <t>518</t>
        </is>
      </c>
      <c r="B22" s="5" t="inlineStr">
        <is>
          <t>goudreinethof, 18D0493↦18D0492</t>
        </is>
      </c>
      <c r="C22" s="6" t="n">
        <v>300</v>
      </c>
      <c r="D22" s="6" t="n">
        <v>7.5</v>
      </c>
      <c r="E22" s="7" t="n">
        <v>54.3</v>
      </c>
      <c r="F22" s="7" t="n">
        <v>6.31</v>
      </c>
      <c r="G22" s="8">
        <f>IF(ISNUMBER(F22),F22+Instellingen!$B$5,"")</f>
        <v/>
      </c>
      <c r="H22" s="6" t="n">
        <v>1</v>
      </c>
      <c r="I22" s="6" t="n">
        <v>1</v>
      </c>
      <c r="J22" s="6" t="n">
        <v>0</v>
      </c>
      <c r="K22" s="9" t="n"/>
      <c r="L22" s="10">
        <f>IFERROR(INDEX(Impregnatie!$B$4:$O$25,MATCH(C22,Impregnatie!$A$4:$A$25,0),MATCH(D22,Impregnatie!$B$3:$O$3,0))*(1+Instellingen!$B$4),"")</f>
        <v/>
      </c>
      <c r="M22" s="10">
        <f>IF(AND(ISNUMBER(E22),ISNUMBER(L22)),E22*L22,0)</f>
        <v/>
      </c>
      <c r="N22" s="10">
        <f>IFERROR(INDEX('Droge kous'!$B$4:$T$33,MATCH(C22,'Droge kous'!$A$4:$A$33,0),MATCH(D22,'Droge kous'!$B$3:$T$3,0)),"")</f>
        <v/>
      </c>
      <c r="O22" s="10">
        <f>IF(AND(ISNUMBER(G22),ISNUMBER(N22)),G22*N22,0)</f>
        <v/>
      </c>
      <c r="P22" s="10">
        <f>IF(ISNUMBER(C22),IFERROR(N(H22)*VLOOKUP(C22,Sundry!$A$4:$G$20,4,TRUE),0),0)</f>
        <v/>
      </c>
      <c r="Q22" s="10">
        <f>IF(ISNUMBER(C22),IFERROR(N(I22)*VLOOKUP(C22,Sundry!$A$4:$G$20,5,TRUE),0),0)</f>
        <v/>
      </c>
      <c r="R22" s="10">
        <f>IF(ISNUMBER(C22),IFERROR(N(J22)*VLOOKUP(C22,Sundry!$A$4:$G$20,3,TRUE),0),0)</f>
        <v/>
      </c>
      <c r="S22" s="10">
        <f>N(K22)</f>
        <v/>
      </c>
      <c r="T22" s="11">
        <f>M22+O22+P22+Q22+R22+S22</f>
        <v/>
      </c>
    </row>
    <row r="23">
      <c r="A23" s="5" t="inlineStr">
        <is>
          <t>519</t>
        </is>
      </c>
      <c r="B23" s="5" t="inlineStr">
        <is>
          <t>calandschans, 18D0351↦18D0361</t>
        </is>
      </c>
      <c r="C23" s="6" t="n">
        <v>250</v>
      </c>
      <c r="D23" s="6" t="n">
        <v>6</v>
      </c>
      <c r="E23" s="7" t="n">
        <v>123.6</v>
      </c>
      <c r="F23" s="7" t="n">
        <v>5.19</v>
      </c>
      <c r="G23" s="8">
        <f>IF(ISNUMBER(F23),F23+Instellingen!$B$5,"")</f>
        <v/>
      </c>
      <c r="H23" s="6" t="n">
        <v>1</v>
      </c>
      <c r="I23" s="6" t="n">
        <v>1</v>
      </c>
      <c r="J23" s="6" t="n">
        <v>0</v>
      </c>
      <c r="K23" s="9" t="n"/>
      <c r="L23" s="10">
        <f>IFERROR(INDEX(Impregnatie!$B$4:$O$25,MATCH(C23,Impregnatie!$A$4:$A$25,0),MATCH(D23,Impregnatie!$B$3:$O$3,0))*(1+Instellingen!$B$4),"")</f>
        <v/>
      </c>
      <c r="M23" s="10">
        <f>IF(AND(ISNUMBER(E23),ISNUMBER(L23)),E23*L23,0)</f>
        <v/>
      </c>
      <c r="N23" s="10">
        <f>IFERROR(INDEX('Droge kous'!$B$4:$T$33,MATCH(C23,'Droge kous'!$A$4:$A$33,0),MATCH(D23,'Droge kous'!$B$3:$T$3,0)),"")</f>
        <v/>
      </c>
      <c r="O23" s="10">
        <f>IF(AND(ISNUMBER(G23),ISNUMBER(N23)),G23*N23,0)</f>
        <v/>
      </c>
      <c r="P23" s="10">
        <f>IF(ISNUMBER(C23),IFERROR(N(H23)*VLOOKUP(C23,Sundry!$A$4:$G$20,4,TRUE),0),0)</f>
        <v/>
      </c>
      <c r="Q23" s="10">
        <f>IF(ISNUMBER(C23),IFERROR(N(I23)*VLOOKUP(C23,Sundry!$A$4:$G$20,5,TRUE),0),0)</f>
        <v/>
      </c>
      <c r="R23" s="10">
        <f>IF(ISNUMBER(C23),IFERROR(N(J23)*VLOOKUP(C23,Sundry!$A$4:$G$20,3,TRUE),0),0)</f>
        <v/>
      </c>
      <c r="S23" s="10">
        <f>N(K23)</f>
        <v/>
      </c>
      <c r="T23" s="11">
        <f>M23+O23+P23+Q23+R23+S23</f>
        <v/>
      </c>
    </row>
    <row r="24">
      <c r="A24" s="5" t="inlineStr">
        <is>
          <t>520</t>
        </is>
      </c>
      <c r="B24" s="5" t="inlineStr">
        <is>
          <t>corbuloschans, 18D0353↦18D0370</t>
        </is>
      </c>
      <c r="C24" s="6" t="n">
        <v>250</v>
      </c>
      <c r="D24" s="6" t="n">
        <v>6</v>
      </c>
      <c r="E24" s="7" t="n">
        <v>87.59999999999999</v>
      </c>
      <c r="F24" s="7" t="n">
        <v>5.2</v>
      </c>
      <c r="G24" s="8">
        <f>IF(ISNUMBER(F24),F24+Instellingen!$B$5,"")</f>
        <v/>
      </c>
      <c r="H24" s="6" t="n">
        <v>1</v>
      </c>
      <c r="I24" s="6" t="n">
        <v>1</v>
      </c>
      <c r="J24" s="6" t="n">
        <v>0</v>
      </c>
      <c r="K24" s="9" t="n"/>
      <c r="L24" s="10">
        <f>IFERROR(INDEX(Impregnatie!$B$4:$O$25,MATCH(C24,Impregnatie!$A$4:$A$25,0),MATCH(D24,Impregnatie!$B$3:$O$3,0))*(1+Instellingen!$B$4),"")</f>
        <v/>
      </c>
      <c r="M24" s="10">
        <f>IF(AND(ISNUMBER(E24),ISNUMBER(L24)),E24*L24,0)</f>
        <v/>
      </c>
      <c r="N24" s="10">
        <f>IFERROR(INDEX('Droge kous'!$B$4:$T$33,MATCH(C24,'Droge kous'!$A$4:$A$33,0),MATCH(D24,'Droge kous'!$B$3:$T$3,0)),"")</f>
        <v/>
      </c>
      <c r="O24" s="10">
        <f>IF(AND(ISNUMBER(G24),ISNUMBER(N24)),G24*N24,0)</f>
        <v/>
      </c>
      <c r="P24" s="10">
        <f>IF(ISNUMBER(C24),IFERROR(N(H24)*VLOOKUP(C24,Sundry!$A$4:$G$20,4,TRUE),0),0)</f>
        <v/>
      </c>
      <c r="Q24" s="10">
        <f>IF(ISNUMBER(C24),IFERROR(N(I24)*VLOOKUP(C24,Sundry!$A$4:$G$20,5,TRUE),0),0)</f>
        <v/>
      </c>
      <c r="R24" s="10">
        <f>IF(ISNUMBER(C24),IFERROR(N(J24)*VLOOKUP(C24,Sundry!$A$4:$G$20,3,TRUE),0),0)</f>
        <v/>
      </c>
      <c r="S24" s="10">
        <f>N(K24)</f>
        <v/>
      </c>
      <c r="T24" s="11">
        <f>M24+O24+P24+Q24+R24+S24</f>
        <v/>
      </c>
    </row>
    <row r="25">
      <c r="A25" s="5" t="inlineStr">
        <is>
          <t>521</t>
        </is>
      </c>
      <c r="B25" s="5" t="inlineStr">
        <is>
          <t>van den corputschans, 18D0354↦18D0367</t>
        </is>
      </c>
      <c r="C25" s="6" t="n">
        <v>250</v>
      </c>
      <c r="D25" s="6" t="n">
        <v>6</v>
      </c>
      <c r="E25" s="7" t="n">
        <v>121.4</v>
      </c>
      <c r="F25" s="7" t="n">
        <v>5.21</v>
      </c>
      <c r="G25" s="8">
        <f>IF(ISNUMBER(F25),F25+Instellingen!$B$5,"")</f>
        <v/>
      </c>
      <c r="H25" s="6" t="n">
        <v>1</v>
      </c>
      <c r="I25" s="6" t="n">
        <v>1</v>
      </c>
      <c r="J25" s="6" t="n">
        <v>0</v>
      </c>
      <c r="K25" s="9" t="n"/>
      <c r="L25" s="10">
        <f>IFERROR(INDEX(Impregnatie!$B$4:$O$25,MATCH(C25,Impregnatie!$A$4:$A$25,0),MATCH(D25,Impregnatie!$B$3:$O$3,0))*(1+Instellingen!$B$4),"")</f>
        <v/>
      </c>
      <c r="M25" s="10">
        <f>IF(AND(ISNUMBER(E25),ISNUMBER(L25)),E25*L25,0)</f>
        <v/>
      </c>
      <c r="N25" s="10">
        <f>IFERROR(INDEX('Droge kous'!$B$4:$T$33,MATCH(C25,'Droge kous'!$A$4:$A$33,0),MATCH(D25,'Droge kous'!$B$3:$T$3,0)),"")</f>
        <v/>
      </c>
      <c r="O25" s="10">
        <f>IF(AND(ISNUMBER(G25),ISNUMBER(N25)),G25*N25,0)</f>
        <v/>
      </c>
      <c r="P25" s="10">
        <f>IF(ISNUMBER(C25),IFERROR(N(H25)*VLOOKUP(C25,Sundry!$A$4:$G$20,4,TRUE),0),0)</f>
        <v/>
      </c>
      <c r="Q25" s="10">
        <f>IF(ISNUMBER(C25),IFERROR(N(I25)*VLOOKUP(C25,Sundry!$A$4:$G$20,5,TRUE),0),0)</f>
        <v/>
      </c>
      <c r="R25" s="10">
        <f>IF(ISNUMBER(C25),IFERROR(N(J25)*VLOOKUP(C25,Sundry!$A$4:$G$20,3,TRUE),0),0)</f>
        <v/>
      </c>
      <c r="S25" s="10">
        <f>N(K25)</f>
        <v/>
      </c>
      <c r="T25" s="11">
        <f>M25+O25+P25+Q25+R25+S25</f>
        <v/>
      </c>
    </row>
    <row r="26">
      <c r="A26" s="5" t="inlineStr">
        <is>
          <t>522</t>
        </is>
      </c>
      <c r="B26" s="5" t="inlineStr">
        <is>
          <t>corbuloschans, 18D0348↦18D0370</t>
        </is>
      </c>
      <c r="C26" s="6" t="n">
        <v>250</v>
      </c>
      <c r="D26" s="6" t="n">
        <v>6</v>
      </c>
      <c r="E26" s="7" t="n">
        <v>93.8</v>
      </c>
      <c r="F26" s="7" t="n">
        <v>4.67</v>
      </c>
      <c r="G26" s="8">
        <f>IF(ISNUMBER(F26),F26+Instellingen!$B$5,"")</f>
        <v/>
      </c>
      <c r="H26" s="6" t="n">
        <v>1</v>
      </c>
      <c r="I26" s="6" t="n">
        <v>1</v>
      </c>
      <c r="J26" s="6" t="n">
        <v>0</v>
      </c>
      <c r="K26" s="9" t="n"/>
      <c r="L26" s="10">
        <f>IFERROR(INDEX(Impregnatie!$B$4:$O$25,MATCH(C26,Impregnatie!$A$4:$A$25,0),MATCH(D26,Impregnatie!$B$3:$O$3,0))*(1+Instellingen!$B$4),"")</f>
        <v/>
      </c>
      <c r="M26" s="10">
        <f>IF(AND(ISNUMBER(E26),ISNUMBER(L26)),E26*L26,0)</f>
        <v/>
      </c>
      <c r="N26" s="10">
        <f>IFERROR(INDEX('Droge kous'!$B$4:$T$33,MATCH(C26,'Droge kous'!$A$4:$A$33,0),MATCH(D26,'Droge kous'!$B$3:$T$3,0)),"")</f>
        <v/>
      </c>
      <c r="O26" s="10">
        <f>IF(AND(ISNUMBER(G26),ISNUMBER(N26)),G26*N26,0)</f>
        <v/>
      </c>
      <c r="P26" s="10">
        <f>IF(ISNUMBER(C26),IFERROR(N(H26)*VLOOKUP(C26,Sundry!$A$4:$G$20,4,TRUE),0),0)</f>
        <v/>
      </c>
      <c r="Q26" s="10">
        <f>IF(ISNUMBER(C26),IFERROR(N(I26)*VLOOKUP(C26,Sundry!$A$4:$G$20,5,TRUE),0),0)</f>
        <v/>
      </c>
      <c r="R26" s="10">
        <f>IF(ISNUMBER(C26),IFERROR(N(J26)*VLOOKUP(C26,Sundry!$A$4:$G$20,3,TRUE),0),0)</f>
        <v/>
      </c>
      <c r="S26" s="10">
        <f>N(K26)</f>
        <v/>
      </c>
      <c r="T26" s="11">
        <f>M26+O26+P26+Q26+R26+S26</f>
        <v/>
      </c>
    </row>
    <row r="27">
      <c r="A27" s="5" t="inlineStr">
        <is>
          <t>523</t>
        </is>
      </c>
      <c r="B27" s="5" t="inlineStr">
        <is>
          <t>semsschans, 18D0554↦18D0556</t>
        </is>
      </c>
      <c r="C27" s="6" t="n">
        <v>250</v>
      </c>
      <c r="D27" s="6" t="n">
        <v>6</v>
      </c>
      <c r="E27" s="7" t="n">
        <v>60.9</v>
      </c>
      <c r="F27" s="7" t="n">
        <v>4.3</v>
      </c>
      <c r="G27" s="8">
        <f>IF(ISNUMBER(F27),F27+Instellingen!$B$5,"")</f>
        <v/>
      </c>
      <c r="H27" s="6" t="n">
        <v>1</v>
      </c>
      <c r="I27" s="6" t="n">
        <v>1</v>
      </c>
      <c r="J27" s="6" t="n">
        <v>0</v>
      </c>
      <c r="K27" s="9" t="n"/>
      <c r="L27" s="10">
        <f>IFERROR(INDEX(Impregnatie!$B$4:$O$25,MATCH(C27,Impregnatie!$A$4:$A$25,0),MATCH(D27,Impregnatie!$B$3:$O$3,0))*(1+Instellingen!$B$4),"")</f>
        <v/>
      </c>
      <c r="M27" s="10">
        <f>IF(AND(ISNUMBER(E27),ISNUMBER(L27)),E27*L27,0)</f>
        <v/>
      </c>
      <c r="N27" s="10">
        <f>IFERROR(INDEX('Droge kous'!$B$4:$T$33,MATCH(C27,'Droge kous'!$A$4:$A$33,0),MATCH(D27,'Droge kous'!$B$3:$T$3,0)),"")</f>
        <v/>
      </c>
      <c r="O27" s="10">
        <f>IF(AND(ISNUMBER(G27),ISNUMBER(N27)),G27*N27,0)</f>
        <v/>
      </c>
      <c r="P27" s="10">
        <f>IF(ISNUMBER(C27),IFERROR(N(H27)*VLOOKUP(C27,Sundry!$A$4:$G$20,4,TRUE),0),0)</f>
        <v/>
      </c>
      <c r="Q27" s="10">
        <f>IF(ISNUMBER(C27),IFERROR(N(I27)*VLOOKUP(C27,Sundry!$A$4:$G$20,5,TRUE),0),0)</f>
        <v/>
      </c>
      <c r="R27" s="10">
        <f>IF(ISNUMBER(C27),IFERROR(N(J27)*VLOOKUP(C27,Sundry!$A$4:$G$20,3,TRUE),0),0)</f>
        <v/>
      </c>
      <c r="S27" s="10">
        <f>N(K27)</f>
        <v/>
      </c>
      <c r="T27" s="11">
        <f>M27+O27+P27+Q27+R27+S27</f>
        <v/>
      </c>
    </row>
    <row r="28">
      <c r="A28" s="5" t="inlineStr">
        <is>
          <t>524</t>
        </is>
      </c>
      <c r="B28" s="5" t="inlineStr">
        <is>
          <t>van rijswijckschans, 18D0457↦18D0458</t>
        </is>
      </c>
      <c r="C28" s="6" t="n">
        <v>250</v>
      </c>
      <c r="D28" s="6" t="n">
        <v>6</v>
      </c>
      <c r="E28" s="7" t="n">
        <v>49.2</v>
      </c>
      <c r="F28" s="7" t="n">
        <v>4.5</v>
      </c>
      <c r="G28" s="8">
        <f>IF(ISNUMBER(F28),F28+Instellingen!$B$5,"")</f>
        <v/>
      </c>
      <c r="H28" s="6" t="n">
        <v>1</v>
      </c>
      <c r="I28" s="6" t="n">
        <v>1</v>
      </c>
      <c r="J28" s="6" t="n">
        <v>0</v>
      </c>
      <c r="K28" s="9" t="n"/>
      <c r="L28" s="10">
        <f>IFERROR(INDEX(Impregnatie!$B$4:$O$25,MATCH(C28,Impregnatie!$A$4:$A$25,0),MATCH(D28,Impregnatie!$B$3:$O$3,0))*(1+Instellingen!$B$4),"")</f>
        <v/>
      </c>
      <c r="M28" s="10">
        <f>IF(AND(ISNUMBER(E28),ISNUMBER(L28)),E28*L28,0)</f>
        <v/>
      </c>
      <c r="N28" s="10">
        <f>IFERROR(INDEX('Droge kous'!$B$4:$T$33,MATCH(C28,'Droge kous'!$A$4:$A$33,0),MATCH(D28,'Droge kous'!$B$3:$T$3,0)),"")</f>
        <v/>
      </c>
      <c r="O28" s="10">
        <f>IF(AND(ISNUMBER(G28),ISNUMBER(N28)),G28*N28,0)</f>
        <v/>
      </c>
      <c r="P28" s="10">
        <f>IF(ISNUMBER(C28),IFERROR(N(H28)*VLOOKUP(C28,Sundry!$A$4:$G$20,4,TRUE),0),0)</f>
        <v/>
      </c>
      <c r="Q28" s="10">
        <f>IF(ISNUMBER(C28),IFERROR(N(I28)*VLOOKUP(C28,Sundry!$A$4:$G$20,5,TRUE),0),0)</f>
        <v/>
      </c>
      <c r="R28" s="10">
        <f>IF(ISNUMBER(C28),IFERROR(N(J28)*VLOOKUP(C28,Sundry!$A$4:$G$20,3,TRUE),0),0)</f>
        <v/>
      </c>
      <c r="S28" s="10">
        <f>N(K28)</f>
        <v/>
      </c>
      <c r="T28" s="11">
        <f>M28+O28+P28+Q28+R28+S28</f>
        <v/>
      </c>
    </row>
    <row r="29">
      <c r="A29" s="5" t="inlineStr">
        <is>
          <t>525</t>
        </is>
      </c>
      <c r="B29" s="5" t="inlineStr">
        <is>
          <t>van rijswijckschans, 18D0457↦18D0418</t>
        </is>
      </c>
      <c r="C29" s="6" t="n">
        <v>250</v>
      </c>
      <c r="D29" s="6" t="n">
        <v>6</v>
      </c>
      <c r="E29" s="7" t="n">
        <v>106.1</v>
      </c>
      <c r="F29" s="7" t="n">
        <v>4.5</v>
      </c>
      <c r="G29" s="8">
        <f>IF(ISNUMBER(F29),F29+Instellingen!$B$5,"")</f>
        <v/>
      </c>
      <c r="H29" s="6" t="n">
        <v>1</v>
      </c>
      <c r="I29" s="6" t="n">
        <v>1</v>
      </c>
      <c r="J29" s="6" t="n">
        <v>0</v>
      </c>
      <c r="K29" s="9" t="n"/>
      <c r="L29" s="10">
        <f>IFERROR(INDEX(Impregnatie!$B$4:$O$25,MATCH(C29,Impregnatie!$A$4:$A$25,0),MATCH(D29,Impregnatie!$B$3:$O$3,0))*(1+Instellingen!$B$4),"")</f>
        <v/>
      </c>
      <c r="M29" s="10">
        <f>IF(AND(ISNUMBER(E29),ISNUMBER(L29)),E29*L29,0)</f>
        <v/>
      </c>
      <c r="N29" s="10">
        <f>IFERROR(INDEX('Droge kous'!$B$4:$T$33,MATCH(C29,'Droge kous'!$A$4:$A$33,0),MATCH(D29,'Droge kous'!$B$3:$T$3,0)),"")</f>
        <v/>
      </c>
      <c r="O29" s="10">
        <f>IF(AND(ISNUMBER(G29),ISNUMBER(N29)),G29*N29,0)</f>
        <v/>
      </c>
      <c r="P29" s="10">
        <f>IF(ISNUMBER(C29),IFERROR(N(H29)*VLOOKUP(C29,Sundry!$A$4:$G$20,4,TRUE),0),0)</f>
        <v/>
      </c>
      <c r="Q29" s="10">
        <f>IF(ISNUMBER(C29),IFERROR(N(I29)*VLOOKUP(C29,Sundry!$A$4:$G$20,5,TRUE),0),0)</f>
        <v/>
      </c>
      <c r="R29" s="10">
        <f>IF(ISNUMBER(C29),IFERROR(N(J29)*VLOOKUP(C29,Sundry!$A$4:$G$20,3,TRUE),0),0)</f>
        <v/>
      </c>
      <c r="S29" s="10">
        <f>N(K29)</f>
        <v/>
      </c>
      <c r="T29" s="11">
        <f>M29+O29+P29+Q29+R29+S29</f>
        <v/>
      </c>
    </row>
    <row r="30">
      <c r="A30" s="5" t="n"/>
      <c r="B30" s="5" t="n"/>
      <c r="C30" s="6" t="n"/>
      <c r="D30" s="6" t="n"/>
      <c r="E30" s="7" t="n"/>
      <c r="F30" s="7" t="n"/>
      <c r="G30" s="8">
        <f>IF(ISNUMBER(F30),F30+Instellingen!$B$5,"")</f>
        <v/>
      </c>
      <c r="H30" s="6" t="n">
        <v>1</v>
      </c>
      <c r="I30" s="6" t="n">
        <v>1</v>
      </c>
      <c r="J30" s="6" t="n">
        <v>0</v>
      </c>
      <c r="K30" s="9" t="n"/>
      <c r="L30" s="10">
        <f>IFERROR(INDEX(Impregnatie!$B$4:$O$25,MATCH(C30,Impregnatie!$A$4:$A$25,0),MATCH(D30,Impregnatie!$B$3:$O$3,0))*(1+Instellingen!$B$4),"")</f>
        <v/>
      </c>
      <c r="M30" s="10">
        <f>IF(AND(ISNUMBER(E30),ISNUMBER(L30)),E30*L30,0)</f>
        <v/>
      </c>
      <c r="N30" s="10">
        <f>IFERROR(INDEX('Droge kous'!$B$4:$T$33,MATCH(C30,'Droge kous'!$A$4:$A$33,0),MATCH(D30,'Droge kous'!$B$3:$T$3,0)),"")</f>
        <v/>
      </c>
      <c r="O30" s="10">
        <f>IF(AND(ISNUMBER(G30),ISNUMBER(N30)),G30*N30,0)</f>
        <v/>
      </c>
      <c r="P30" s="10">
        <f>IF(ISNUMBER(C30),IFERROR(N(H30)*VLOOKUP(C30,Sundry!$A$4:$G$20,4,TRUE),0),0)</f>
        <v/>
      </c>
      <c r="Q30" s="10">
        <f>IF(ISNUMBER(C30),IFERROR(N(I30)*VLOOKUP(C30,Sundry!$A$4:$G$20,5,TRUE),0),0)</f>
        <v/>
      </c>
      <c r="R30" s="10">
        <f>IF(ISNUMBER(C30),IFERROR(N(J30)*VLOOKUP(C30,Sundry!$A$4:$G$20,3,TRUE),0),0)</f>
        <v/>
      </c>
      <c r="S30" s="10">
        <f>N(K30)</f>
        <v/>
      </c>
      <c r="T30" s="11">
        <f>M30+O30+P30+Q30+R30+S30</f>
        <v/>
      </c>
    </row>
    <row r="31">
      <c r="A31" s="5" t="n"/>
      <c r="B31" s="5" t="n"/>
      <c r="C31" s="6" t="n"/>
      <c r="D31" s="6" t="n"/>
      <c r="E31" s="7" t="n"/>
      <c r="F31" s="7" t="n"/>
      <c r="G31" s="8">
        <f>IF(ISNUMBER(F31),F31+Instellingen!$B$5,"")</f>
        <v/>
      </c>
      <c r="H31" s="6" t="n">
        <v>1</v>
      </c>
      <c r="I31" s="6" t="n">
        <v>1</v>
      </c>
      <c r="J31" s="6" t="n">
        <v>0</v>
      </c>
      <c r="K31" s="9" t="n"/>
      <c r="L31" s="10">
        <f>IFERROR(INDEX(Impregnatie!$B$4:$O$25,MATCH(C31,Impregnatie!$A$4:$A$25,0),MATCH(D31,Impregnatie!$B$3:$O$3,0))*(1+Instellingen!$B$4),"")</f>
        <v/>
      </c>
      <c r="M31" s="10">
        <f>IF(AND(ISNUMBER(E31),ISNUMBER(L31)),E31*L31,0)</f>
        <v/>
      </c>
      <c r="N31" s="10">
        <f>IFERROR(INDEX('Droge kous'!$B$4:$T$33,MATCH(C31,'Droge kous'!$A$4:$A$33,0),MATCH(D31,'Droge kous'!$B$3:$T$3,0)),"")</f>
        <v/>
      </c>
      <c r="O31" s="10">
        <f>IF(AND(ISNUMBER(G31),ISNUMBER(N31)),G31*N31,0)</f>
        <v/>
      </c>
      <c r="P31" s="10">
        <f>IF(ISNUMBER(C31),IFERROR(N(H31)*VLOOKUP(C31,Sundry!$A$4:$G$20,4,TRUE),0),0)</f>
        <v/>
      </c>
      <c r="Q31" s="10">
        <f>IF(ISNUMBER(C31),IFERROR(N(I31)*VLOOKUP(C31,Sundry!$A$4:$G$20,5,TRUE),0),0)</f>
        <v/>
      </c>
      <c r="R31" s="10">
        <f>IF(ISNUMBER(C31),IFERROR(N(J31)*VLOOKUP(C31,Sundry!$A$4:$G$20,3,TRUE),0),0)</f>
        <v/>
      </c>
      <c r="S31" s="10">
        <f>N(K31)</f>
        <v/>
      </c>
      <c r="T31" s="11">
        <f>M31+O31+P31+Q31+R31+S31</f>
        <v/>
      </c>
    </row>
    <row r="32">
      <c r="A32" s="5" t="n"/>
      <c r="B32" s="5" t="n"/>
      <c r="C32" s="6" t="n"/>
      <c r="D32" s="6" t="n"/>
      <c r="E32" s="7" t="n"/>
      <c r="F32" s="7" t="n"/>
      <c r="G32" s="8">
        <f>IF(ISNUMBER(F32),F32+Instellingen!$B$5,"")</f>
        <v/>
      </c>
      <c r="H32" s="6" t="n">
        <v>1</v>
      </c>
      <c r="I32" s="6" t="n">
        <v>1</v>
      </c>
      <c r="J32" s="6" t="n">
        <v>0</v>
      </c>
      <c r="K32" s="9" t="n"/>
      <c r="L32" s="10">
        <f>IFERROR(INDEX(Impregnatie!$B$4:$O$25,MATCH(C32,Impregnatie!$A$4:$A$25,0),MATCH(D32,Impregnatie!$B$3:$O$3,0))*(1+Instellingen!$B$4),"")</f>
        <v/>
      </c>
      <c r="M32" s="10">
        <f>IF(AND(ISNUMBER(E32),ISNUMBER(L32)),E32*L32,0)</f>
        <v/>
      </c>
      <c r="N32" s="10">
        <f>IFERROR(INDEX('Droge kous'!$B$4:$T$33,MATCH(C32,'Droge kous'!$A$4:$A$33,0),MATCH(D32,'Droge kous'!$B$3:$T$3,0)),"")</f>
        <v/>
      </c>
      <c r="O32" s="10">
        <f>IF(AND(ISNUMBER(G32),ISNUMBER(N32)),G32*N32,0)</f>
        <v/>
      </c>
      <c r="P32" s="10">
        <f>IF(ISNUMBER(C32),IFERROR(N(H32)*VLOOKUP(C32,Sundry!$A$4:$G$20,4,TRUE),0),0)</f>
        <v/>
      </c>
      <c r="Q32" s="10">
        <f>IF(ISNUMBER(C32),IFERROR(N(I32)*VLOOKUP(C32,Sundry!$A$4:$G$20,5,TRUE),0),0)</f>
        <v/>
      </c>
      <c r="R32" s="10">
        <f>IF(ISNUMBER(C32),IFERROR(N(J32)*VLOOKUP(C32,Sundry!$A$4:$G$20,3,TRUE),0),0)</f>
        <v/>
      </c>
      <c r="S32" s="10">
        <f>N(K32)</f>
        <v/>
      </c>
      <c r="T32" s="11">
        <f>M32+O32+P32+Q32+R32+S32</f>
        <v/>
      </c>
    </row>
    <row r="33">
      <c r="A33" s="5" t="n"/>
      <c r="B33" s="5" t="n"/>
      <c r="C33" s="6" t="n"/>
      <c r="D33" s="6" t="n"/>
      <c r="E33" s="7" t="n"/>
      <c r="F33" s="7" t="n"/>
      <c r="G33" s="8">
        <f>IF(ISNUMBER(F33),F33+Instellingen!$B$5,"")</f>
        <v/>
      </c>
      <c r="H33" s="6" t="n">
        <v>1</v>
      </c>
      <c r="I33" s="6" t="n">
        <v>1</v>
      </c>
      <c r="J33" s="6" t="n">
        <v>0</v>
      </c>
      <c r="K33" s="9" t="n"/>
      <c r="L33" s="10">
        <f>IFERROR(INDEX(Impregnatie!$B$4:$O$25,MATCH(C33,Impregnatie!$A$4:$A$25,0),MATCH(D33,Impregnatie!$B$3:$O$3,0))*(1+Instellingen!$B$4),"")</f>
        <v/>
      </c>
      <c r="M33" s="10">
        <f>IF(AND(ISNUMBER(E33),ISNUMBER(L33)),E33*L33,0)</f>
        <v/>
      </c>
      <c r="N33" s="10">
        <f>IFERROR(INDEX('Droge kous'!$B$4:$T$33,MATCH(C33,'Droge kous'!$A$4:$A$33,0),MATCH(D33,'Droge kous'!$B$3:$T$3,0)),"")</f>
        <v/>
      </c>
      <c r="O33" s="10">
        <f>IF(AND(ISNUMBER(G33),ISNUMBER(N33)),G33*N33,0)</f>
        <v/>
      </c>
      <c r="P33" s="10">
        <f>IF(ISNUMBER(C33),IFERROR(N(H33)*VLOOKUP(C33,Sundry!$A$4:$G$20,4,TRUE),0),0)</f>
        <v/>
      </c>
      <c r="Q33" s="10">
        <f>IF(ISNUMBER(C33),IFERROR(N(I33)*VLOOKUP(C33,Sundry!$A$4:$G$20,5,TRUE),0),0)</f>
        <v/>
      </c>
      <c r="R33" s="10">
        <f>IF(ISNUMBER(C33),IFERROR(N(J33)*VLOOKUP(C33,Sundry!$A$4:$G$20,3,TRUE),0),0)</f>
        <v/>
      </c>
      <c r="S33" s="10">
        <f>N(K33)</f>
        <v/>
      </c>
      <c r="T33" s="11">
        <f>M33+O33+P33+Q33+R33+S33</f>
        <v/>
      </c>
    </row>
    <row r="34">
      <c r="A34" s="5" t="n"/>
      <c r="B34" s="5" t="n"/>
      <c r="C34" s="6" t="n"/>
      <c r="D34" s="6" t="n"/>
      <c r="E34" s="7" t="n"/>
      <c r="F34" s="7" t="n"/>
      <c r="G34" s="8">
        <f>IF(ISNUMBER(F34),F34+Instellingen!$B$5,"")</f>
        <v/>
      </c>
      <c r="H34" s="6" t="n">
        <v>1</v>
      </c>
      <c r="I34" s="6" t="n">
        <v>1</v>
      </c>
      <c r="J34" s="6" t="n">
        <v>0</v>
      </c>
      <c r="K34" s="9" t="n"/>
      <c r="L34" s="10">
        <f>IFERROR(INDEX(Impregnatie!$B$4:$O$25,MATCH(C34,Impregnatie!$A$4:$A$25,0),MATCH(D34,Impregnatie!$B$3:$O$3,0))*(1+Instellingen!$B$4),"")</f>
        <v/>
      </c>
      <c r="M34" s="10">
        <f>IF(AND(ISNUMBER(E34),ISNUMBER(L34)),E34*L34,0)</f>
        <v/>
      </c>
      <c r="N34" s="10">
        <f>IFERROR(INDEX('Droge kous'!$B$4:$T$33,MATCH(C34,'Droge kous'!$A$4:$A$33,0),MATCH(D34,'Droge kous'!$B$3:$T$3,0)),"")</f>
        <v/>
      </c>
      <c r="O34" s="10">
        <f>IF(AND(ISNUMBER(G34),ISNUMBER(N34)),G34*N34,0)</f>
        <v/>
      </c>
      <c r="P34" s="10">
        <f>IF(ISNUMBER(C34),IFERROR(N(H34)*VLOOKUP(C34,Sundry!$A$4:$G$20,4,TRUE),0),0)</f>
        <v/>
      </c>
      <c r="Q34" s="10">
        <f>IF(ISNUMBER(C34),IFERROR(N(I34)*VLOOKUP(C34,Sundry!$A$4:$G$20,5,TRUE),0),0)</f>
        <v/>
      </c>
      <c r="R34" s="10">
        <f>IF(ISNUMBER(C34),IFERROR(N(J34)*VLOOKUP(C34,Sundry!$A$4:$G$20,3,TRUE),0),0)</f>
        <v/>
      </c>
      <c r="S34" s="10">
        <f>N(K34)</f>
        <v/>
      </c>
      <c r="T34" s="11">
        <f>M34+O34+P34+Q34+R34+S34</f>
        <v/>
      </c>
    </row>
    <row r="35">
      <c r="A35" s="5" t="n"/>
      <c r="B35" s="5" t="n"/>
      <c r="C35" s="6" t="n"/>
      <c r="D35" s="6" t="n"/>
      <c r="E35" s="7" t="n"/>
      <c r="F35" s="7" t="n"/>
      <c r="G35" s="8">
        <f>IF(ISNUMBER(F35),F35+Instellingen!$B$5,"")</f>
        <v/>
      </c>
      <c r="H35" s="6" t="n">
        <v>1</v>
      </c>
      <c r="I35" s="6" t="n">
        <v>1</v>
      </c>
      <c r="J35" s="6" t="n">
        <v>0</v>
      </c>
      <c r="K35" s="9" t="n"/>
      <c r="L35" s="10">
        <f>IFERROR(INDEX(Impregnatie!$B$4:$O$25,MATCH(C35,Impregnatie!$A$4:$A$25,0),MATCH(D35,Impregnatie!$B$3:$O$3,0))*(1+Instellingen!$B$4),"")</f>
        <v/>
      </c>
      <c r="M35" s="10">
        <f>IF(AND(ISNUMBER(E35),ISNUMBER(L35)),E35*L35,0)</f>
        <v/>
      </c>
      <c r="N35" s="10">
        <f>IFERROR(INDEX('Droge kous'!$B$4:$T$33,MATCH(C35,'Droge kous'!$A$4:$A$33,0),MATCH(D35,'Droge kous'!$B$3:$T$3,0)),"")</f>
        <v/>
      </c>
      <c r="O35" s="10">
        <f>IF(AND(ISNUMBER(G35),ISNUMBER(N35)),G35*N35,0)</f>
        <v/>
      </c>
      <c r="P35" s="10">
        <f>IF(ISNUMBER(C35),IFERROR(N(H35)*VLOOKUP(C35,Sundry!$A$4:$G$20,4,TRUE),0),0)</f>
        <v/>
      </c>
      <c r="Q35" s="10">
        <f>IF(ISNUMBER(C35),IFERROR(N(I35)*VLOOKUP(C35,Sundry!$A$4:$G$20,5,TRUE),0),0)</f>
        <v/>
      </c>
      <c r="R35" s="10">
        <f>IF(ISNUMBER(C35),IFERROR(N(J35)*VLOOKUP(C35,Sundry!$A$4:$G$20,3,TRUE),0),0)</f>
        <v/>
      </c>
      <c r="S35" s="10">
        <f>N(K35)</f>
        <v/>
      </c>
      <c r="T35" s="11">
        <f>M35+O35+P35+Q35+R35+S35</f>
        <v/>
      </c>
    </row>
    <row r="36">
      <c r="A36" s="5" t="n"/>
      <c r="B36" s="5" t="n"/>
      <c r="C36" s="6" t="n"/>
      <c r="D36" s="6" t="n"/>
      <c r="E36" s="7" t="n"/>
      <c r="F36" s="7" t="n"/>
      <c r="G36" s="8">
        <f>IF(ISNUMBER(F36),F36+Instellingen!$B$5,"")</f>
        <v/>
      </c>
      <c r="H36" s="6" t="n">
        <v>1</v>
      </c>
      <c r="I36" s="6" t="n">
        <v>1</v>
      </c>
      <c r="J36" s="6" t="n">
        <v>0</v>
      </c>
      <c r="K36" s="9" t="n"/>
      <c r="L36" s="10">
        <f>IFERROR(INDEX(Impregnatie!$B$4:$O$25,MATCH(C36,Impregnatie!$A$4:$A$25,0),MATCH(D36,Impregnatie!$B$3:$O$3,0))*(1+Instellingen!$B$4),"")</f>
        <v/>
      </c>
      <c r="M36" s="10">
        <f>IF(AND(ISNUMBER(E36),ISNUMBER(L36)),E36*L36,0)</f>
        <v/>
      </c>
      <c r="N36" s="10">
        <f>IFERROR(INDEX('Droge kous'!$B$4:$T$33,MATCH(C36,'Droge kous'!$A$4:$A$33,0),MATCH(D36,'Droge kous'!$B$3:$T$3,0)),"")</f>
        <v/>
      </c>
      <c r="O36" s="10">
        <f>IF(AND(ISNUMBER(G36),ISNUMBER(N36)),G36*N36,0)</f>
        <v/>
      </c>
      <c r="P36" s="10">
        <f>IF(ISNUMBER(C36),IFERROR(N(H36)*VLOOKUP(C36,Sundry!$A$4:$G$20,4,TRUE),0),0)</f>
        <v/>
      </c>
      <c r="Q36" s="10">
        <f>IF(ISNUMBER(C36),IFERROR(N(I36)*VLOOKUP(C36,Sundry!$A$4:$G$20,5,TRUE),0),0)</f>
        <v/>
      </c>
      <c r="R36" s="10">
        <f>IF(ISNUMBER(C36),IFERROR(N(J36)*VLOOKUP(C36,Sundry!$A$4:$G$20,3,TRUE),0),0)</f>
        <v/>
      </c>
      <c r="S36" s="10">
        <f>N(K36)</f>
        <v/>
      </c>
      <c r="T36" s="11">
        <f>M36+O36+P36+Q36+R36+S36</f>
        <v/>
      </c>
    </row>
    <row r="37">
      <c r="A37" s="5" t="n"/>
      <c r="B37" s="5" t="n"/>
      <c r="C37" s="6" t="n"/>
      <c r="D37" s="6" t="n"/>
      <c r="E37" s="7" t="n"/>
      <c r="F37" s="7" t="n"/>
      <c r="G37" s="8">
        <f>IF(ISNUMBER(F37),F37+Instellingen!$B$5,"")</f>
        <v/>
      </c>
      <c r="H37" s="6" t="n">
        <v>1</v>
      </c>
      <c r="I37" s="6" t="n">
        <v>1</v>
      </c>
      <c r="J37" s="6" t="n">
        <v>0</v>
      </c>
      <c r="K37" s="9" t="n"/>
      <c r="L37" s="10">
        <f>IFERROR(INDEX(Impregnatie!$B$4:$O$25,MATCH(C37,Impregnatie!$A$4:$A$25,0),MATCH(D37,Impregnatie!$B$3:$O$3,0))*(1+Instellingen!$B$4),"")</f>
        <v/>
      </c>
      <c r="M37" s="10">
        <f>IF(AND(ISNUMBER(E37),ISNUMBER(L37)),E37*L37,0)</f>
        <v/>
      </c>
      <c r="N37" s="10">
        <f>IFERROR(INDEX('Droge kous'!$B$4:$T$33,MATCH(C37,'Droge kous'!$A$4:$A$33,0),MATCH(D37,'Droge kous'!$B$3:$T$3,0)),"")</f>
        <v/>
      </c>
      <c r="O37" s="10">
        <f>IF(AND(ISNUMBER(G37),ISNUMBER(N37)),G37*N37,0)</f>
        <v/>
      </c>
      <c r="P37" s="10">
        <f>IF(ISNUMBER(C37),IFERROR(N(H37)*VLOOKUP(C37,Sundry!$A$4:$G$20,4,TRUE),0),0)</f>
        <v/>
      </c>
      <c r="Q37" s="10">
        <f>IF(ISNUMBER(C37),IFERROR(N(I37)*VLOOKUP(C37,Sundry!$A$4:$G$20,5,TRUE),0),0)</f>
        <v/>
      </c>
      <c r="R37" s="10">
        <f>IF(ISNUMBER(C37),IFERROR(N(J37)*VLOOKUP(C37,Sundry!$A$4:$G$20,3,TRUE),0),0)</f>
        <v/>
      </c>
      <c r="S37" s="10">
        <f>N(K37)</f>
        <v/>
      </c>
      <c r="T37" s="11">
        <f>M37+O37+P37+Q37+R37+S37</f>
        <v/>
      </c>
    </row>
    <row r="38">
      <c r="A38" s="5" t="n"/>
      <c r="B38" s="5" t="n"/>
      <c r="C38" s="6" t="n"/>
      <c r="D38" s="6" t="n"/>
      <c r="E38" s="7" t="n"/>
      <c r="F38" s="7" t="n"/>
      <c r="G38" s="8">
        <f>IF(ISNUMBER(F38),F38+Instellingen!$B$5,"")</f>
        <v/>
      </c>
      <c r="H38" s="6" t="n">
        <v>1</v>
      </c>
      <c r="I38" s="6" t="n">
        <v>1</v>
      </c>
      <c r="J38" s="6" t="n">
        <v>0</v>
      </c>
      <c r="K38" s="9" t="n"/>
      <c r="L38" s="10">
        <f>IFERROR(INDEX(Impregnatie!$B$4:$O$25,MATCH(C38,Impregnatie!$A$4:$A$25,0),MATCH(D38,Impregnatie!$B$3:$O$3,0))*(1+Instellingen!$B$4),"")</f>
        <v/>
      </c>
      <c r="M38" s="10">
        <f>IF(AND(ISNUMBER(E38),ISNUMBER(L38)),E38*L38,0)</f>
        <v/>
      </c>
      <c r="N38" s="10">
        <f>IFERROR(INDEX('Droge kous'!$B$4:$T$33,MATCH(C38,'Droge kous'!$A$4:$A$33,0),MATCH(D38,'Droge kous'!$B$3:$T$3,0)),"")</f>
        <v/>
      </c>
      <c r="O38" s="10">
        <f>IF(AND(ISNUMBER(G38),ISNUMBER(N38)),G38*N38,0)</f>
        <v/>
      </c>
      <c r="P38" s="10">
        <f>IF(ISNUMBER(C38),IFERROR(N(H38)*VLOOKUP(C38,Sundry!$A$4:$G$20,4,TRUE),0),0)</f>
        <v/>
      </c>
      <c r="Q38" s="10">
        <f>IF(ISNUMBER(C38),IFERROR(N(I38)*VLOOKUP(C38,Sundry!$A$4:$G$20,5,TRUE),0),0)</f>
        <v/>
      </c>
      <c r="R38" s="10">
        <f>IF(ISNUMBER(C38),IFERROR(N(J38)*VLOOKUP(C38,Sundry!$A$4:$G$20,3,TRUE),0),0)</f>
        <v/>
      </c>
      <c r="S38" s="10">
        <f>N(K38)</f>
        <v/>
      </c>
      <c r="T38" s="11">
        <f>M38+O38+P38+Q38+R38+S38</f>
        <v/>
      </c>
    </row>
    <row r="39">
      <c r="A39" s="5" t="n"/>
      <c r="B39" s="5" t="n"/>
      <c r="C39" s="6" t="n"/>
      <c r="D39" s="6" t="n"/>
      <c r="E39" s="7" t="n"/>
      <c r="F39" s="7" t="n"/>
      <c r="G39" s="8">
        <f>IF(ISNUMBER(F39),F39+Instellingen!$B$5,"")</f>
        <v/>
      </c>
      <c r="H39" s="6" t="n">
        <v>1</v>
      </c>
      <c r="I39" s="6" t="n">
        <v>1</v>
      </c>
      <c r="J39" s="6" t="n">
        <v>0</v>
      </c>
      <c r="K39" s="9" t="n"/>
      <c r="L39" s="10">
        <f>IFERROR(INDEX(Impregnatie!$B$4:$O$25,MATCH(C39,Impregnatie!$A$4:$A$25,0),MATCH(D39,Impregnatie!$B$3:$O$3,0))*(1+Instellingen!$B$4),"")</f>
        <v/>
      </c>
      <c r="M39" s="10">
        <f>IF(AND(ISNUMBER(E39),ISNUMBER(L39)),E39*L39,0)</f>
        <v/>
      </c>
      <c r="N39" s="10">
        <f>IFERROR(INDEX('Droge kous'!$B$4:$T$33,MATCH(C39,'Droge kous'!$A$4:$A$33,0),MATCH(D39,'Droge kous'!$B$3:$T$3,0)),"")</f>
        <v/>
      </c>
      <c r="O39" s="10">
        <f>IF(AND(ISNUMBER(G39),ISNUMBER(N39)),G39*N39,0)</f>
        <v/>
      </c>
      <c r="P39" s="10">
        <f>IF(ISNUMBER(C39),IFERROR(N(H39)*VLOOKUP(C39,Sundry!$A$4:$G$20,4,TRUE),0),0)</f>
        <v/>
      </c>
      <c r="Q39" s="10">
        <f>IF(ISNUMBER(C39),IFERROR(N(I39)*VLOOKUP(C39,Sundry!$A$4:$G$20,5,TRUE),0),0)</f>
        <v/>
      </c>
      <c r="R39" s="10">
        <f>IF(ISNUMBER(C39),IFERROR(N(J39)*VLOOKUP(C39,Sundry!$A$4:$G$20,3,TRUE),0),0)</f>
        <v/>
      </c>
      <c r="S39" s="10">
        <f>N(K39)</f>
        <v/>
      </c>
      <c r="T39" s="11">
        <f>M39+O39+P39+Q39+R39+S39</f>
        <v/>
      </c>
    </row>
    <row r="40">
      <c r="A40" s="5" t="n"/>
      <c r="B40" s="5" t="n"/>
      <c r="C40" s="6" t="n"/>
      <c r="D40" s="6" t="n"/>
      <c r="E40" s="7" t="n"/>
      <c r="F40" s="7" t="n"/>
      <c r="G40" s="8">
        <f>IF(ISNUMBER(F40),F40+Instellingen!$B$5,"")</f>
        <v/>
      </c>
      <c r="H40" s="6" t="n">
        <v>1</v>
      </c>
      <c r="I40" s="6" t="n">
        <v>1</v>
      </c>
      <c r="J40" s="6" t="n">
        <v>0</v>
      </c>
      <c r="K40" s="9" t="n"/>
      <c r="L40" s="10">
        <f>IFERROR(INDEX(Impregnatie!$B$4:$O$25,MATCH(C40,Impregnatie!$A$4:$A$25,0),MATCH(D40,Impregnatie!$B$3:$O$3,0))*(1+Instellingen!$B$4),"")</f>
        <v/>
      </c>
      <c r="M40" s="10">
        <f>IF(AND(ISNUMBER(E40),ISNUMBER(L40)),E40*L40,0)</f>
        <v/>
      </c>
      <c r="N40" s="10">
        <f>IFERROR(INDEX('Droge kous'!$B$4:$T$33,MATCH(C40,'Droge kous'!$A$4:$A$33,0),MATCH(D40,'Droge kous'!$B$3:$T$3,0)),"")</f>
        <v/>
      </c>
      <c r="O40" s="10">
        <f>IF(AND(ISNUMBER(G40),ISNUMBER(N40)),G40*N40,0)</f>
        <v/>
      </c>
      <c r="P40" s="10">
        <f>IF(ISNUMBER(C40),IFERROR(N(H40)*VLOOKUP(C40,Sundry!$A$4:$G$20,4,TRUE),0),0)</f>
        <v/>
      </c>
      <c r="Q40" s="10">
        <f>IF(ISNUMBER(C40),IFERROR(N(I40)*VLOOKUP(C40,Sundry!$A$4:$G$20,5,TRUE),0),0)</f>
        <v/>
      </c>
      <c r="R40" s="10">
        <f>IF(ISNUMBER(C40),IFERROR(N(J40)*VLOOKUP(C40,Sundry!$A$4:$G$20,3,TRUE),0),0)</f>
        <v/>
      </c>
      <c r="S40" s="10">
        <f>N(K40)</f>
        <v/>
      </c>
      <c r="T40" s="11">
        <f>M40+O40+P40+Q40+R40+S40</f>
        <v/>
      </c>
    </row>
    <row r="41">
      <c r="A41" s="5" t="n"/>
      <c r="B41" s="5" t="n"/>
      <c r="C41" s="6" t="n"/>
      <c r="D41" s="6" t="n"/>
      <c r="E41" s="7" t="n"/>
      <c r="F41" s="7" t="n"/>
      <c r="G41" s="8">
        <f>IF(ISNUMBER(F41),F41+Instellingen!$B$5,"")</f>
        <v/>
      </c>
      <c r="H41" s="6" t="n">
        <v>1</v>
      </c>
      <c r="I41" s="6" t="n">
        <v>1</v>
      </c>
      <c r="J41" s="6" t="n">
        <v>0</v>
      </c>
      <c r="K41" s="9" t="n"/>
      <c r="L41" s="10">
        <f>IFERROR(INDEX(Impregnatie!$B$4:$O$25,MATCH(C41,Impregnatie!$A$4:$A$25,0),MATCH(D41,Impregnatie!$B$3:$O$3,0))*(1+Instellingen!$B$4),"")</f>
        <v/>
      </c>
      <c r="M41" s="10">
        <f>IF(AND(ISNUMBER(E41),ISNUMBER(L41)),E41*L41,0)</f>
        <v/>
      </c>
      <c r="N41" s="10">
        <f>IFERROR(INDEX('Droge kous'!$B$4:$T$33,MATCH(C41,'Droge kous'!$A$4:$A$33,0),MATCH(D41,'Droge kous'!$B$3:$T$3,0)),"")</f>
        <v/>
      </c>
      <c r="O41" s="10">
        <f>IF(AND(ISNUMBER(G41),ISNUMBER(N41)),G41*N41,0)</f>
        <v/>
      </c>
      <c r="P41" s="10">
        <f>IF(ISNUMBER(C41),IFERROR(N(H41)*VLOOKUP(C41,Sundry!$A$4:$G$20,4,TRUE),0),0)</f>
        <v/>
      </c>
      <c r="Q41" s="10">
        <f>IF(ISNUMBER(C41),IFERROR(N(I41)*VLOOKUP(C41,Sundry!$A$4:$G$20,5,TRUE),0),0)</f>
        <v/>
      </c>
      <c r="R41" s="10">
        <f>IF(ISNUMBER(C41),IFERROR(N(J41)*VLOOKUP(C41,Sundry!$A$4:$G$20,3,TRUE),0),0)</f>
        <v/>
      </c>
      <c r="S41" s="10">
        <f>N(K41)</f>
        <v/>
      </c>
      <c r="T41" s="11">
        <f>M41+O41+P41+Q41+R41+S41</f>
        <v/>
      </c>
    </row>
    <row r="42">
      <c r="A42" s="5" t="n"/>
      <c r="B42" s="5" t="n"/>
      <c r="C42" s="6" t="n"/>
      <c r="D42" s="6" t="n"/>
      <c r="E42" s="7" t="n"/>
      <c r="F42" s="7" t="n"/>
      <c r="G42" s="8">
        <f>IF(ISNUMBER(F42),F42+Instellingen!$B$5,"")</f>
        <v/>
      </c>
      <c r="H42" s="6" t="n">
        <v>1</v>
      </c>
      <c r="I42" s="6" t="n">
        <v>1</v>
      </c>
      <c r="J42" s="6" t="n">
        <v>0</v>
      </c>
      <c r="K42" s="9" t="n"/>
      <c r="L42" s="10">
        <f>IFERROR(INDEX(Impregnatie!$B$4:$O$25,MATCH(C42,Impregnatie!$A$4:$A$25,0),MATCH(D42,Impregnatie!$B$3:$O$3,0))*(1+Instellingen!$B$4),"")</f>
        <v/>
      </c>
      <c r="M42" s="10">
        <f>IF(AND(ISNUMBER(E42),ISNUMBER(L42)),E42*L42,0)</f>
        <v/>
      </c>
      <c r="N42" s="10">
        <f>IFERROR(INDEX('Droge kous'!$B$4:$T$33,MATCH(C42,'Droge kous'!$A$4:$A$33,0),MATCH(D42,'Droge kous'!$B$3:$T$3,0)),"")</f>
        <v/>
      </c>
      <c r="O42" s="10">
        <f>IF(AND(ISNUMBER(G42),ISNUMBER(N42)),G42*N42,0)</f>
        <v/>
      </c>
      <c r="P42" s="10">
        <f>IF(ISNUMBER(C42),IFERROR(N(H42)*VLOOKUP(C42,Sundry!$A$4:$G$20,4,TRUE),0),0)</f>
        <v/>
      </c>
      <c r="Q42" s="10">
        <f>IF(ISNUMBER(C42),IFERROR(N(I42)*VLOOKUP(C42,Sundry!$A$4:$G$20,5,TRUE),0),0)</f>
        <v/>
      </c>
      <c r="R42" s="10">
        <f>IF(ISNUMBER(C42),IFERROR(N(J42)*VLOOKUP(C42,Sundry!$A$4:$G$20,3,TRUE),0),0)</f>
        <v/>
      </c>
      <c r="S42" s="10">
        <f>N(K42)</f>
        <v/>
      </c>
      <c r="T42" s="11">
        <f>M42+O42+P42+Q42+R42+S42</f>
        <v/>
      </c>
    </row>
    <row r="43">
      <c r="A43" s="5" t="n"/>
      <c r="B43" s="5" t="n"/>
      <c r="C43" s="6" t="n"/>
      <c r="D43" s="6" t="n"/>
      <c r="E43" s="7" t="n"/>
      <c r="F43" s="7" t="n"/>
      <c r="G43" s="8">
        <f>IF(ISNUMBER(F43),F43+Instellingen!$B$5,"")</f>
        <v/>
      </c>
      <c r="H43" s="6" t="n">
        <v>1</v>
      </c>
      <c r="I43" s="6" t="n">
        <v>1</v>
      </c>
      <c r="J43" s="6" t="n">
        <v>0</v>
      </c>
      <c r="K43" s="9" t="n"/>
      <c r="L43" s="10">
        <f>IFERROR(INDEX(Impregnatie!$B$4:$O$25,MATCH(C43,Impregnatie!$A$4:$A$25,0),MATCH(D43,Impregnatie!$B$3:$O$3,0))*(1+Instellingen!$B$4),"")</f>
        <v/>
      </c>
      <c r="M43" s="10">
        <f>IF(AND(ISNUMBER(E43),ISNUMBER(L43)),E43*L43,0)</f>
        <v/>
      </c>
      <c r="N43" s="10">
        <f>IFERROR(INDEX('Droge kous'!$B$4:$T$33,MATCH(C43,'Droge kous'!$A$4:$A$33,0),MATCH(D43,'Droge kous'!$B$3:$T$3,0)),"")</f>
        <v/>
      </c>
      <c r="O43" s="10">
        <f>IF(AND(ISNUMBER(G43),ISNUMBER(N43)),G43*N43,0)</f>
        <v/>
      </c>
      <c r="P43" s="10">
        <f>IF(ISNUMBER(C43),IFERROR(N(H43)*VLOOKUP(C43,Sundry!$A$4:$G$20,4,TRUE),0),0)</f>
        <v/>
      </c>
      <c r="Q43" s="10">
        <f>IF(ISNUMBER(C43),IFERROR(N(I43)*VLOOKUP(C43,Sundry!$A$4:$G$20,5,TRUE),0),0)</f>
        <v/>
      </c>
      <c r="R43" s="10">
        <f>IF(ISNUMBER(C43),IFERROR(N(J43)*VLOOKUP(C43,Sundry!$A$4:$G$20,3,TRUE),0),0)</f>
        <v/>
      </c>
      <c r="S43" s="10">
        <f>N(K43)</f>
        <v/>
      </c>
      <c r="T43" s="11">
        <f>M43+O43+P43+Q43+R43+S43</f>
        <v/>
      </c>
    </row>
    <row r="44">
      <c r="A44" s="5" t="n"/>
      <c r="B44" s="5" t="n"/>
      <c r="C44" s="6" t="n"/>
      <c r="D44" s="6" t="n"/>
      <c r="E44" s="7" t="n"/>
      <c r="F44" s="7" t="n"/>
      <c r="G44" s="8">
        <f>IF(ISNUMBER(F44),F44+Instellingen!$B$5,"")</f>
        <v/>
      </c>
      <c r="H44" s="6" t="n">
        <v>1</v>
      </c>
      <c r="I44" s="6" t="n">
        <v>1</v>
      </c>
      <c r="J44" s="6" t="n">
        <v>0</v>
      </c>
      <c r="K44" s="9" t="n"/>
      <c r="L44" s="10">
        <f>IFERROR(INDEX(Impregnatie!$B$4:$O$25,MATCH(C44,Impregnatie!$A$4:$A$25,0),MATCH(D44,Impregnatie!$B$3:$O$3,0))*(1+Instellingen!$B$4),"")</f>
        <v/>
      </c>
      <c r="M44" s="10">
        <f>IF(AND(ISNUMBER(E44),ISNUMBER(L44)),E44*L44,0)</f>
        <v/>
      </c>
      <c r="N44" s="10">
        <f>IFERROR(INDEX('Droge kous'!$B$4:$T$33,MATCH(C44,'Droge kous'!$A$4:$A$33,0),MATCH(D44,'Droge kous'!$B$3:$T$3,0)),"")</f>
        <v/>
      </c>
      <c r="O44" s="10">
        <f>IF(AND(ISNUMBER(G44),ISNUMBER(N44)),G44*N44,0)</f>
        <v/>
      </c>
      <c r="P44" s="10">
        <f>IF(ISNUMBER(C44),IFERROR(N(H44)*VLOOKUP(C44,Sundry!$A$4:$G$20,4,TRUE),0),0)</f>
        <v/>
      </c>
      <c r="Q44" s="10">
        <f>IF(ISNUMBER(C44),IFERROR(N(I44)*VLOOKUP(C44,Sundry!$A$4:$G$20,5,TRUE),0),0)</f>
        <v/>
      </c>
      <c r="R44" s="10">
        <f>IF(ISNUMBER(C44),IFERROR(N(J44)*VLOOKUP(C44,Sundry!$A$4:$G$20,3,TRUE),0),0)</f>
        <v/>
      </c>
      <c r="S44" s="10">
        <f>N(K44)</f>
        <v/>
      </c>
      <c r="T44" s="11">
        <f>M44+O44+P44+Q44+R44+S44</f>
        <v/>
      </c>
    </row>
    <row r="45">
      <c r="A45" s="5" t="n"/>
      <c r="B45" s="5" t="n"/>
      <c r="C45" s="6" t="n"/>
      <c r="D45" s="6" t="n"/>
      <c r="E45" s="7" t="n"/>
      <c r="F45" s="7" t="n"/>
      <c r="G45" s="8">
        <f>IF(ISNUMBER(F45),F45+Instellingen!$B$5,"")</f>
        <v/>
      </c>
      <c r="H45" s="6" t="n">
        <v>1</v>
      </c>
      <c r="I45" s="6" t="n">
        <v>1</v>
      </c>
      <c r="J45" s="6" t="n">
        <v>0</v>
      </c>
      <c r="K45" s="9" t="n"/>
      <c r="L45" s="10">
        <f>IFERROR(INDEX(Impregnatie!$B$4:$O$25,MATCH(C45,Impregnatie!$A$4:$A$25,0),MATCH(D45,Impregnatie!$B$3:$O$3,0))*(1+Instellingen!$B$4),"")</f>
        <v/>
      </c>
      <c r="M45" s="10">
        <f>IF(AND(ISNUMBER(E45),ISNUMBER(L45)),E45*L45,0)</f>
        <v/>
      </c>
      <c r="N45" s="10">
        <f>IFERROR(INDEX('Droge kous'!$B$4:$T$33,MATCH(C45,'Droge kous'!$A$4:$A$33,0),MATCH(D45,'Droge kous'!$B$3:$T$3,0)),"")</f>
        <v/>
      </c>
      <c r="O45" s="10">
        <f>IF(AND(ISNUMBER(G45),ISNUMBER(N45)),G45*N45,0)</f>
        <v/>
      </c>
      <c r="P45" s="10">
        <f>IF(ISNUMBER(C45),IFERROR(N(H45)*VLOOKUP(C45,Sundry!$A$4:$G$20,4,TRUE),0),0)</f>
        <v/>
      </c>
      <c r="Q45" s="10">
        <f>IF(ISNUMBER(C45),IFERROR(N(I45)*VLOOKUP(C45,Sundry!$A$4:$G$20,5,TRUE),0),0)</f>
        <v/>
      </c>
      <c r="R45" s="10">
        <f>IF(ISNUMBER(C45),IFERROR(N(J45)*VLOOKUP(C45,Sundry!$A$4:$G$20,3,TRUE),0),0)</f>
        <v/>
      </c>
      <c r="S45" s="10">
        <f>N(K45)</f>
        <v/>
      </c>
      <c r="T45" s="11">
        <f>M45+O45+P45+Q45+R45+S45</f>
        <v/>
      </c>
    </row>
    <row r="46">
      <c r="A46" s="5" t="n"/>
      <c r="B46" s="5" t="n"/>
      <c r="C46" s="6" t="n"/>
      <c r="D46" s="6" t="n"/>
      <c r="E46" s="7" t="n"/>
      <c r="F46" s="7" t="n"/>
      <c r="G46" s="8">
        <f>IF(ISNUMBER(F46),F46+Instellingen!$B$5,"")</f>
        <v/>
      </c>
      <c r="H46" s="6" t="n">
        <v>1</v>
      </c>
      <c r="I46" s="6" t="n">
        <v>1</v>
      </c>
      <c r="J46" s="6" t="n">
        <v>0</v>
      </c>
      <c r="K46" s="9" t="n"/>
      <c r="L46" s="10">
        <f>IFERROR(INDEX(Impregnatie!$B$4:$O$25,MATCH(C46,Impregnatie!$A$4:$A$25,0),MATCH(D46,Impregnatie!$B$3:$O$3,0))*(1+Instellingen!$B$4),"")</f>
        <v/>
      </c>
      <c r="M46" s="10">
        <f>IF(AND(ISNUMBER(E46),ISNUMBER(L46)),E46*L46,0)</f>
        <v/>
      </c>
      <c r="N46" s="10">
        <f>IFERROR(INDEX('Droge kous'!$B$4:$T$33,MATCH(C46,'Droge kous'!$A$4:$A$33,0),MATCH(D46,'Droge kous'!$B$3:$T$3,0)),"")</f>
        <v/>
      </c>
      <c r="O46" s="10">
        <f>IF(AND(ISNUMBER(G46),ISNUMBER(N46)),G46*N46,0)</f>
        <v/>
      </c>
      <c r="P46" s="10">
        <f>IF(ISNUMBER(C46),IFERROR(N(H46)*VLOOKUP(C46,Sundry!$A$4:$G$20,4,TRUE),0),0)</f>
        <v/>
      </c>
      <c r="Q46" s="10">
        <f>IF(ISNUMBER(C46),IFERROR(N(I46)*VLOOKUP(C46,Sundry!$A$4:$G$20,5,TRUE),0),0)</f>
        <v/>
      </c>
      <c r="R46" s="10">
        <f>IF(ISNUMBER(C46),IFERROR(N(J46)*VLOOKUP(C46,Sundry!$A$4:$G$20,3,TRUE),0),0)</f>
        <v/>
      </c>
      <c r="S46" s="10">
        <f>N(K46)</f>
        <v/>
      </c>
      <c r="T46" s="11">
        <f>M46+O46+P46+Q46+R46+S46</f>
        <v/>
      </c>
    </row>
    <row r="47">
      <c r="A47" s="5" t="n"/>
      <c r="B47" s="5" t="n"/>
      <c r="C47" s="6" t="n"/>
      <c r="D47" s="6" t="n"/>
      <c r="E47" s="7" t="n"/>
      <c r="F47" s="7" t="n"/>
      <c r="G47" s="8">
        <f>IF(ISNUMBER(F47),F47+Instellingen!$B$5,"")</f>
        <v/>
      </c>
      <c r="H47" s="6" t="n">
        <v>1</v>
      </c>
      <c r="I47" s="6" t="n">
        <v>1</v>
      </c>
      <c r="J47" s="6" t="n">
        <v>0</v>
      </c>
      <c r="K47" s="9" t="n"/>
      <c r="L47" s="10">
        <f>IFERROR(INDEX(Impregnatie!$B$4:$O$25,MATCH(C47,Impregnatie!$A$4:$A$25,0),MATCH(D47,Impregnatie!$B$3:$O$3,0))*(1+Instellingen!$B$4),"")</f>
        <v/>
      </c>
      <c r="M47" s="10">
        <f>IF(AND(ISNUMBER(E47),ISNUMBER(L47)),E47*L47,0)</f>
        <v/>
      </c>
      <c r="N47" s="10">
        <f>IFERROR(INDEX('Droge kous'!$B$4:$T$33,MATCH(C47,'Droge kous'!$A$4:$A$33,0),MATCH(D47,'Droge kous'!$B$3:$T$3,0)),"")</f>
        <v/>
      </c>
      <c r="O47" s="10">
        <f>IF(AND(ISNUMBER(G47),ISNUMBER(N47)),G47*N47,0)</f>
        <v/>
      </c>
      <c r="P47" s="10">
        <f>IF(ISNUMBER(C47),IFERROR(N(H47)*VLOOKUP(C47,Sundry!$A$4:$G$20,4,TRUE),0),0)</f>
        <v/>
      </c>
      <c r="Q47" s="10">
        <f>IF(ISNUMBER(C47),IFERROR(N(I47)*VLOOKUP(C47,Sundry!$A$4:$G$20,5,TRUE),0),0)</f>
        <v/>
      </c>
      <c r="R47" s="10">
        <f>IF(ISNUMBER(C47),IFERROR(N(J47)*VLOOKUP(C47,Sundry!$A$4:$G$20,3,TRUE),0),0)</f>
        <v/>
      </c>
      <c r="S47" s="10">
        <f>N(K47)</f>
        <v/>
      </c>
      <c r="T47" s="11">
        <f>M47+O47+P47+Q47+R47+S47</f>
        <v/>
      </c>
    </row>
    <row r="48">
      <c r="A48" s="5" t="n"/>
      <c r="B48" s="5" t="n"/>
      <c r="C48" s="6" t="n"/>
      <c r="D48" s="6" t="n"/>
      <c r="E48" s="7" t="n"/>
      <c r="F48" s="7" t="n"/>
      <c r="G48" s="8">
        <f>IF(ISNUMBER(F48),F48+Instellingen!$B$5,"")</f>
        <v/>
      </c>
      <c r="H48" s="6" t="n">
        <v>1</v>
      </c>
      <c r="I48" s="6" t="n">
        <v>1</v>
      </c>
      <c r="J48" s="6" t="n">
        <v>0</v>
      </c>
      <c r="K48" s="9" t="n"/>
      <c r="L48" s="10">
        <f>IFERROR(INDEX(Impregnatie!$B$4:$O$25,MATCH(C48,Impregnatie!$A$4:$A$25,0),MATCH(D48,Impregnatie!$B$3:$O$3,0))*(1+Instellingen!$B$4),"")</f>
        <v/>
      </c>
      <c r="M48" s="10">
        <f>IF(AND(ISNUMBER(E48),ISNUMBER(L48)),E48*L48,0)</f>
        <v/>
      </c>
      <c r="N48" s="10">
        <f>IFERROR(INDEX('Droge kous'!$B$4:$T$33,MATCH(C48,'Droge kous'!$A$4:$A$33,0),MATCH(D48,'Droge kous'!$B$3:$T$3,0)),"")</f>
        <v/>
      </c>
      <c r="O48" s="10">
        <f>IF(AND(ISNUMBER(G48),ISNUMBER(N48)),G48*N48,0)</f>
        <v/>
      </c>
      <c r="P48" s="10">
        <f>IF(ISNUMBER(C48),IFERROR(N(H48)*VLOOKUP(C48,Sundry!$A$4:$G$20,4,TRUE),0),0)</f>
        <v/>
      </c>
      <c r="Q48" s="10">
        <f>IF(ISNUMBER(C48),IFERROR(N(I48)*VLOOKUP(C48,Sundry!$A$4:$G$20,5,TRUE),0),0)</f>
        <v/>
      </c>
      <c r="R48" s="10">
        <f>IF(ISNUMBER(C48),IFERROR(N(J48)*VLOOKUP(C48,Sundry!$A$4:$G$20,3,TRUE),0),0)</f>
        <v/>
      </c>
      <c r="S48" s="10">
        <f>N(K48)</f>
        <v/>
      </c>
      <c r="T48" s="11">
        <f>M48+O48+P48+Q48+R48+S48</f>
        <v/>
      </c>
    </row>
    <row r="49">
      <c r="A49" s="5" t="n"/>
      <c r="B49" s="5" t="n"/>
      <c r="C49" s="6" t="n"/>
      <c r="D49" s="6" t="n"/>
      <c r="E49" s="7" t="n"/>
      <c r="F49" s="7" t="n"/>
      <c r="G49" s="8">
        <f>IF(ISNUMBER(F49),F49+Instellingen!$B$5,"")</f>
        <v/>
      </c>
      <c r="H49" s="6" t="n">
        <v>1</v>
      </c>
      <c r="I49" s="6" t="n">
        <v>1</v>
      </c>
      <c r="J49" s="6" t="n">
        <v>0</v>
      </c>
      <c r="K49" s="9" t="n"/>
      <c r="L49" s="10">
        <f>IFERROR(INDEX(Impregnatie!$B$4:$O$25,MATCH(C49,Impregnatie!$A$4:$A$25,0),MATCH(D49,Impregnatie!$B$3:$O$3,0))*(1+Instellingen!$B$4),"")</f>
        <v/>
      </c>
      <c r="M49" s="10">
        <f>IF(AND(ISNUMBER(E49),ISNUMBER(L49)),E49*L49,0)</f>
        <v/>
      </c>
      <c r="N49" s="10">
        <f>IFERROR(INDEX('Droge kous'!$B$4:$T$33,MATCH(C49,'Droge kous'!$A$4:$A$33,0),MATCH(D49,'Droge kous'!$B$3:$T$3,0)),"")</f>
        <v/>
      </c>
      <c r="O49" s="10">
        <f>IF(AND(ISNUMBER(G49),ISNUMBER(N49)),G49*N49,0)</f>
        <v/>
      </c>
      <c r="P49" s="10">
        <f>IF(ISNUMBER(C49),IFERROR(N(H49)*VLOOKUP(C49,Sundry!$A$4:$G$20,4,TRUE),0),0)</f>
        <v/>
      </c>
      <c r="Q49" s="10">
        <f>IF(ISNUMBER(C49),IFERROR(N(I49)*VLOOKUP(C49,Sundry!$A$4:$G$20,5,TRUE),0),0)</f>
        <v/>
      </c>
      <c r="R49" s="10">
        <f>IF(ISNUMBER(C49),IFERROR(N(J49)*VLOOKUP(C49,Sundry!$A$4:$G$20,3,TRUE),0),0)</f>
        <v/>
      </c>
      <c r="S49" s="10">
        <f>N(K49)</f>
        <v/>
      </c>
      <c r="T49" s="11">
        <f>M49+O49+P49+Q49+R49+S49</f>
        <v/>
      </c>
    </row>
    <row r="50">
      <c r="A50" s="5" t="n"/>
      <c r="B50" s="5" t="n"/>
      <c r="C50" s="6" t="n"/>
      <c r="D50" s="6" t="n"/>
      <c r="E50" s="7" t="n"/>
      <c r="F50" s="7" t="n"/>
      <c r="G50" s="8">
        <f>IF(ISNUMBER(F50),F50+Instellingen!$B$5,"")</f>
        <v/>
      </c>
      <c r="H50" s="6" t="n">
        <v>1</v>
      </c>
      <c r="I50" s="6" t="n">
        <v>1</v>
      </c>
      <c r="J50" s="6" t="n">
        <v>0</v>
      </c>
      <c r="K50" s="9" t="n"/>
      <c r="L50" s="10">
        <f>IFERROR(INDEX(Impregnatie!$B$4:$O$25,MATCH(C50,Impregnatie!$A$4:$A$25,0),MATCH(D50,Impregnatie!$B$3:$O$3,0))*(1+Instellingen!$B$4),"")</f>
        <v/>
      </c>
      <c r="M50" s="10">
        <f>IF(AND(ISNUMBER(E50),ISNUMBER(L50)),E50*L50,0)</f>
        <v/>
      </c>
      <c r="N50" s="10">
        <f>IFERROR(INDEX('Droge kous'!$B$4:$T$33,MATCH(C50,'Droge kous'!$A$4:$A$33,0),MATCH(D50,'Droge kous'!$B$3:$T$3,0)),"")</f>
        <v/>
      </c>
      <c r="O50" s="10">
        <f>IF(AND(ISNUMBER(G50),ISNUMBER(N50)),G50*N50,0)</f>
        <v/>
      </c>
      <c r="P50" s="10">
        <f>IF(ISNUMBER(C50),IFERROR(N(H50)*VLOOKUP(C50,Sundry!$A$4:$G$20,4,TRUE),0),0)</f>
        <v/>
      </c>
      <c r="Q50" s="10">
        <f>IF(ISNUMBER(C50),IFERROR(N(I50)*VLOOKUP(C50,Sundry!$A$4:$G$20,5,TRUE),0),0)</f>
        <v/>
      </c>
      <c r="R50" s="10">
        <f>IF(ISNUMBER(C50),IFERROR(N(J50)*VLOOKUP(C50,Sundry!$A$4:$G$20,3,TRUE),0),0)</f>
        <v/>
      </c>
      <c r="S50" s="10">
        <f>N(K50)</f>
        <v/>
      </c>
      <c r="T50" s="11">
        <f>M50+O50+P50+Q50+R50+S50</f>
        <v/>
      </c>
    </row>
    <row r="51">
      <c r="A51" s="5" t="n"/>
      <c r="B51" s="5" t="n"/>
      <c r="C51" s="6" t="n"/>
      <c r="D51" s="6" t="n"/>
      <c r="E51" s="7" t="n"/>
      <c r="F51" s="7" t="n"/>
      <c r="G51" s="8">
        <f>IF(ISNUMBER(F51),F51+Instellingen!$B$5,"")</f>
        <v/>
      </c>
      <c r="H51" s="6" t="n">
        <v>1</v>
      </c>
      <c r="I51" s="6" t="n">
        <v>1</v>
      </c>
      <c r="J51" s="6" t="n">
        <v>0</v>
      </c>
      <c r="K51" s="9" t="n"/>
      <c r="L51" s="10">
        <f>IFERROR(INDEX(Impregnatie!$B$4:$O$25,MATCH(C51,Impregnatie!$A$4:$A$25,0),MATCH(D51,Impregnatie!$B$3:$O$3,0))*(1+Instellingen!$B$4),"")</f>
        <v/>
      </c>
      <c r="M51" s="10">
        <f>IF(AND(ISNUMBER(E51),ISNUMBER(L51)),E51*L51,0)</f>
        <v/>
      </c>
      <c r="N51" s="10">
        <f>IFERROR(INDEX('Droge kous'!$B$4:$T$33,MATCH(C51,'Droge kous'!$A$4:$A$33,0),MATCH(D51,'Droge kous'!$B$3:$T$3,0)),"")</f>
        <v/>
      </c>
      <c r="O51" s="10">
        <f>IF(AND(ISNUMBER(G51),ISNUMBER(N51)),G51*N51,0)</f>
        <v/>
      </c>
      <c r="P51" s="10">
        <f>IF(ISNUMBER(C51),IFERROR(N(H51)*VLOOKUP(C51,Sundry!$A$4:$G$20,4,TRUE),0),0)</f>
        <v/>
      </c>
      <c r="Q51" s="10">
        <f>IF(ISNUMBER(C51),IFERROR(N(I51)*VLOOKUP(C51,Sundry!$A$4:$G$20,5,TRUE),0),0)</f>
        <v/>
      </c>
      <c r="R51" s="10">
        <f>IF(ISNUMBER(C51),IFERROR(N(J51)*VLOOKUP(C51,Sundry!$A$4:$G$20,3,TRUE),0),0)</f>
        <v/>
      </c>
      <c r="S51" s="10">
        <f>N(K51)</f>
        <v/>
      </c>
      <c r="T51" s="11">
        <f>M51+O51+P51+Q51+R51+S51</f>
        <v/>
      </c>
    </row>
    <row r="52">
      <c r="A52" s="5" t="n"/>
      <c r="B52" s="5" t="n"/>
      <c r="C52" s="6" t="n"/>
      <c r="D52" s="6" t="n"/>
      <c r="E52" s="7" t="n"/>
      <c r="F52" s="7" t="n"/>
      <c r="G52" s="8">
        <f>IF(ISNUMBER(F52),F52+Instellingen!$B$5,"")</f>
        <v/>
      </c>
      <c r="H52" s="6" t="n">
        <v>1</v>
      </c>
      <c r="I52" s="6" t="n">
        <v>1</v>
      </c>
      <c r="J52" s="6" t="n">
        <v>0</v>
      </c>
      <c r="K52" s="9" t="n"/>
      <c r="L52" s="10">
        <f>IFERROR(INDEX(Impregnatie!$B$4:$O$25,MATCH(C52,Impregnatie!$A$4:$A$25,0),MATCH(D52,Impregnatie!$B$3:$O$3,0))*(1+Instellingen!$B$4),"")</f>
        <v/>
      </c>
      <c r="M52" s="10">
        <f>IF(AND(ISNUMBER(E52),ISNUMBER(L52)),E52*L52,0)</f>
        <v/>
      </c>
      <c r="N52" s="10">
        <f>IFERROR(INDEX('Droge kous'!$B$4:$T$33,MATCH(C52,'Droge kous'!$A$4:$A$33,0),MATCH(D52,'Droge kous'!$B$3:$T$3,0)),"")</f>
        <v/>
      </c>
      <c r="O52" s="10">
        <f>IF(AND(ISNUMBER(G52),ISNUMBER(N52)),G52*N52,0)</f>
        <v/>
      </c>
      <c r="P52" s="10">
        <f>IF(ISNUMBER(C52),IFERROR(N(H52)*VLOOKUP(C52,Sundry!$A$4:$G$20,4,TRUE),0),0)</f>
        <v/>
      </c>
      <c r="Q52" s="10">
        <f>IF(ISNUMBER(C52),IFERROR(N(I52)*VLOOKUP(C52,Sundry!$A$4:$G$20,5,TRUE),0),0)</f>
        <v/>
      </c>
      <c r="R52" s="10">
        <f>IF(ISNUMBER(C52),IFERROR(N(J52)*VLOOKUP(C52,Sundry!$A$4:$G$20,3,TRUE),0),0)</f>
        <v/>
      </c>
      <c r="S52" s="10">
        <f>N(K52)</f>
        <v/>
      </c>
      <c r="T52" s="11">
        <f>M52+O52+P52+Q52+R52+S52</f>
        <v/>
      </c>
    </row>
    <row r="53">
      <c r="A53" s="5" t="n"/>
      <c r="B53" s="5" t="n"/>
      <c r="C53" s="6" t="n"/>
      <c r="D53" s="6" t="n"/>
      <c r="E53" s="7" t="n"/>
      <c r="F53" s="7" t="n"/>
      <c r="G53" s="8">
        <f>IF(ISNUMBER(F53),F53+Instellingen!$B$5,"")</f>
        <v/>
      </c>
      <c r="H53" s="6" t="n">
        <v>1</v>
      </c>
      <c r="I53" s="6" t="n">
        <v>1</v>
      </c>
      <c r="J53" s="6" t="n">
        <v>0</v>
      </c>
      <c r="K53" s="9" t="n"/>
      <c r="L53" s="10">
        <f>IFERROR(INDEX(Impregnatie!$B$4:$O$25,MATCH(C53,Impregnatie!$A$4:$A$25,0),MATCH(D53,Impregnatie!$B$3:$O$3,0))*(1+Instellingen!$B$4),"")</f>
        <v/>
      </c>
      <c r="M53" s="10">
        <f>IF(AND(ISNUMBER(E53),ISNUMBER(L53)),E53*L53,0)</f>
        <v/>
      </c>
      <c r="N53" s="10">
        <f>IFERROR(INDEX('Droge kous'!$B$4:$T$33,MATCH(C53,'Droge kous'!$A$4:$A$33,0),MATCH(D53,'Droge kous'!$B$3:$T$3,0)),"")</f>
        <v/>
      </c>
      <c r="O53" s="10">
        <f>IF(AND(ISNUMBER(G53),ISNUMBER(N53)),G53*N53,0)</f>
        <v/>
      </c>
      <c r="P53" s="10">
        <f>IF(ISNUMBER(C53),IFERROR(N(H53)*VLOOKUP(C53,Sundry!$A$4:$G$20,4,TRUE),0),0)</f>
        <v/>
      </c>
      <c r="Q53" s="10">
        <f>IF(ISNUMBER(C53),IFERROR(N(I53)*VLOOKUP(C53,Sundry!$A$4:$G$20,5,TRUE),0),0)</f>
        <v/>
      </c>
      <c r="R53" s="10">
        <f>IF(ISNUMBER(C53),IFERROR(N(J53)*VLOOKUP(C53,Sundry!$A$4:$G$20,3,TRUE),0),0)</f>
        <v/>
      </c>
      <c r="S53" s="10">
        <f>N(K53)</f>
        <v/>
      </c>
      <c r="T53" s="11">
        <f>M53+O53+P53+Q53+R53+S53</f>
        <v/>
      </c>
    </row>
    <row r="54">
      <c r="A54" s="5" t="n"/>
      <c r="B54" s="5" t="n"/>
      <c r="C54" s="6" t="n"/>
      <c r="D54" s="6" t="n"/>
      <c r="E54" s="7" t="n"/>
      <c r="F54" s="7" t="n"/>
      <c r="G54" s="8">
        <f>IF(ISNUMBER(F54),F54+Instellingen!$B$5,"")</f>
        <v/>
      </c>
      <c r="H54" s="6" t="n">
        <v>1</v>
      </c>
      <c r="I54" s="6" t="n">
        <v>1</v>
      </c>
      <c r="J54" s="6" t="n">
        <v>0</v>
      </c>
      <c r="K54" s="9" t="n"/>
      <c r="L54" s="10">
        <f>IFERROR(INDEX(Impregnatie!$B$4:$O$25,MATCH(C54,Impregnatie!$A$4:$A$25,0),MATCH(D54,Impregnatie!$B$3:$O$3,0))*(1+Instellingen!$B$4),"")</f>
        <v/>
      </c>
      <c r="M54" s="10">
        <f>IF(AND(ISNUMBER(E54),ISNUMBER(L54)),E54*L54,0)</f>
        <v/>
      </c>
      <c r="N54" s="10">
        <f>IFERROR(INDEX('Droge kous'!$B$4:$T$33,MATCH(C54,'Droge kous'!$A$4:$A$33,0),MATCH(D54,'Droge kous'!$B$3:$T$3,0)),"")</f>
        <v/>
      </c>
      <c r="O54" s="10">
        <f>IF(AND(ISNUMBER(G54),ISNUMBER(N54)),G54*N54,0)</f>
        <v/>
      </c>
      <c r="P54" s="10">
        <f>IF(ISNUMBER(C54),IFERROR(N(H54)*VLOOKUP(C54,Sundry!$A$4:$G$20,4,TRUE),0),0)</f>
        <v/>
      </c>
      <c r="Q54" s="10">
        <f>IF(ISNUMBER(C54),IFERROR(N(I54)*VLOOKUP(C54,Sundry!$A$4:$G$20,5,TRUE),0),0)</f>
        <v/>
      </c>
      <c r="R54" s="10">
        <f>IF(ISNUMBER(C54),IFERROR(N(J54)*VLOOKUP(C54,Sundry!$A$4:$G$20,3,TRUE),0),0)</f>
        <v/>
      </c>
      <c r="S54" s="10">
        <f>N(K54)</f>
        <v/>
      </c>
      <c r="T54" s="11">
        <f>M54+O54+P54+Q54+R54+S54</f>
        <v/>
      </c>
    </row>
    <row r="55">
      <c r="A55" s="5" t="n"/>
      <c r="B55" s="5" t="n"/>
      <c r="C55" s="6" t="n"/>
      <c r="D55" s="6" t="n"/>
      <c r="E55" s="7" t="n"/>
      <c r="F55" s="7" t="n"/>
      <c r="G55" s="8">
        <f>IF(ISNUMBER(F55),F55+Instellingen!$B$5,"")</f>
        <v/>
      </c>
      <c r="H55" s="6" t="n">
        <v>1</v>
      </c>
      <c r="I55" s="6" t="n">
        <v>1</v>
      </c>
      <c r="J55" s="6" t="n">
        <v>0</v>
      </c>
      <c r="K55" s="9" t="n"/>
      <c r="L55" s="10">
        <f>IFERROR(INDEX(Impregnatie!$B$4:$O$25,MATCH(C55,Impregnatie!$A$4:$A$25,0),MATCH(D55,Impregnatie!$B$3:$O$3,0))*(1+Instellingen!$B$4),"")</f>
        <v/>
      </c>
      <c r="M55" s="10">
        <f>IF(AND(ISNUMBER(E55),ISNUMBER(L55)),E55*L55,0)</f>
        <v/>
      </c>
      <c r="N55" s="10">
        <f>IFERROR(INDEX('Droge kous'!$B$4:$T$33,MATCH(C55,'Droge kous'!$A$4:$A$33,0),MATCH(D55,'Droge kous'!$B$3:$T$3,0)),"")</f>
        <v/>
      </c>
      <c r="O55" s="10">
        <f>IF(AND(ISNUMBER(G55),ISNUMBER(N55)),G55*N55,0)</f>
        <v/>
      </c>
      <c r="P55" s="10">
        <f>IF(ISNUMBER(C55),IFERROR(N(H55)*VLOOKUP(C55,Sundry!$A$4:$G$20,4,TRUE),0),0)</f>
        <v/>
      </c>
      <c r="Q55" s="10">
        <f>IF(ISNUMBER(C55),IFERROR(N(I55)*VLOOKUP(C55,Sundry!$A$4:$G$20,5,TRUE),0),0)</f>
        <v/>
      </c>
      <c r="R55" s="10">
        <f>IF(ISNUMBER(C55),IFERROR(N(J55)*VLOOKUP(C55,Sundry!$A$4:$G$20,3,TRUE),0),0)</f>
        <v/>
      </c>
      <c r="S55" s="10">
        <f>N(K55)</f>
        <v/>
      </c>
      <c r="T55" s="11">
        <f>M55+O55+P55+Q55+R55+S55</f>
        <v/>
      </c>
    </row>
    <row r="56">
      <c r="A56" s="5" t="n"/>
      <c r="B56" s="5" t="n"/>
      <c r="C56" s="6" t="n"/>
      <c r="D56" s="6" t="n"/>
      <c r="E56" s="7" t="n"/>
      <c r="F56" s="7" t="n"/>
      <c r="G56" s="8">
        <f>IF(ISNUMBER(F56),F56+Instellingen!$B$5,"")</f>
        <v/>
      </c>
      <c r="H56" s="6" t="n">
        <v>1</v>
      </c>
      <c r="I56" s="6" t="n">
        <v>1</v>
      </c>
      <c r="J56" s="6" t="n">
        <v>0</v>
      </c>
      <c r="K56" s="9" t="n"/>
      <c r="L56" s="10">
        <f>IFERROR(INDEX(Impregnatie!$B$4:$O$25,MATCH(C56,Impregnatie!$A$4:$A$25,0),MATCH(D56,Impregnatie!$B$3:$O$3,0))*(1+Instellingen!$B$4),"")</f>
        <v/>
      </c>
      <c r="M56" s="10">
        <f>IF(AND(ISNUMBER(E56),ISNUMBER(L56)),E56*L56,0)</f>
        <v/>
      </c>
      <c r="N56" s="10">
        <f>IFERROR(INDEX('Droge kous'!$B$4:$T$33,MATCH(C56,'Droge kous'!$A$4:$A$33,0),MATCH(D56,'Droge kous'!$B$3:$T$3,0)),"")</f>
        <v/>
      </c>
      <c r="O56" s="10">
        <f>IF(AND(ISNUMBER(G56),ISNUMBER(N56)),G56*N56,0)</f>
        <v/>
      </c>
      <c r="P56" s="10">
        <f>IF(ISNUMBER(C56),IFERROR(N(H56)*VLOOKUP(C56,Sundry!$A$4:$G$20,4,TRUE),0),0)</f>
        <v/>
      </c>
      <c r="Q56" s="10">
        <f>IF(ISNUMBER(C56),IFERROR(N(I56)*VLOOKUP(C56,Sundry!$A$4:$G$20,5,TRUE),0),0)</f>
        <v/>
      </c>
      <c r="R56" s="10">
        <f>IF(ISNUMBER(C56),IFERROR(N(J56)*VLOOKUP(C56,Sundry!$A$4:$G$20,3,TRUE),0),0)</f>
        <v/>
      </c>
      <c r="S56" s="10">
        <f>N(K56)</f>
        <v/>
      </c>
      <c r="T56" s="11">
        <f>M56+O56+P56+Q56+R56+S56</f>
        <v/>
      </c>
    </row>
    <row r="57">
      <c r="A57" s="5" t="n"/>
      <c r="B57" s="5" t="n"/>
      <c r="C57" s="6" t="n"/>
      <c r="D57" s="6" t="n"/>
      <c r="E57" s="7" t="n"/>
      <c r="F57" s="7" t="n"/>
      <c r="G57" s="8">
        <f>IF(ISNUMBER(F57),F57+Instellingen!$B$5,"")</f>
        <v/>
      </c>
      <c r="H57" s="6" t="n">
        <v>1</v>
      </c>
      <c r="I57" s="6" t="n">
        <v>1</v>
      </c>
      <c r="J57" s="6" t="n">
        <v>0</v>
      </c>
      <c r="K57" s="9" t="n"/>
      <c r="L57" s="10">
        <f>IFERROR(INDEX(Impregnatie!$B$4:$O$25,MATCH(C57,Impregnatie!$A$4:$A$25,0),MATCH(D57,Impregnatie!$B$3:$O$3,0))*(1+Instellingen!$B$4),"")</f>
        <v/>
      </c>
      <c r="M57" s="10">
        <f>IF(AND(ISNUMBER(E57),ISNUMBER(L57)),E57*L57,0)</f>
        <v/>
      </c>
      <c r="N57" s="10">
        <f>IFERROR(INDEX('Droge kous'!$B$4:$T$33,MATCH(C57,'Droge kous'!$A$4:$A$33,0),MATCH(D57,'Droge kous'!$B$3:$T$3,0)),"")</f>
        <v/>
      </c>
      <c r="O57" s="10">
        <f>IF(AND(ISNUMBER(G57),ISNUMBER(N57)),G57*N57,0)</f>
        <v/>
      </c>
      <c r="P57" s="10">
        <f>IF(ISNUMBER(C57),IFERROR(N(H57)*VLOOKUP(C57,Sundry!$A$4:$G$20,4,TRUE),0),0)</f>
        <v/>
      </c>
      <c r="Q57" s="10">
        <f>IF(ISNUMBER(C57),IFERROR(N(I57)*VLOOKUP(C57,Sundry!$A$4:$G$20,5,TRUE),0),0)</f>
        <v/>
      </c>
      <c r="R57" s="10">
        <f>IF(ISNUMBER(C57),IFERROR(N(J57)*VLOOKUP(C57,Sundry!$A$4:$G$20,3,TRUE),0),0)</f>
        <v/>
      </c>
      <c r="S57" s="10">
        <f>N(K57)</f>
        <v/>
      </c>
      <c r="T57" s="11">
        <f>M57+O57+P57+Q57+R57+S57</f>
        <v/>
      </c>
    </row>
    <row r="58">
      <c r="A58" s="5" t="n"/>
      <c r="B58" s="5" t="n"/>
      <c r="C58" s="6" t="n"/>
      <c r="D58" s="6" t="n"/>
      <c r="E58" s="7" t="n"/>
      <c r="F58" s="7" t="n"/>
      <c r="G58" s="8">
        <f>IF(ISNUMBER(F58),F58+Instellingen!$B$5,"")</f>
        <v/>
      </c>
      <c r="H58" s="6" t="n">
        <v>1</v>
      </c>
      <c r="I58" s="6" t="n">
        <v>1</v>
      </c>
      <c r="J58" s="6" t="n">
        <v>0</v>
      </c>
      <c r="K58" s="9" t="n"/>
      <c r="L58" s="10">
        <f>IFERROR(INDEX(Impregnatie!$B$4:$O$25,MATCH(C58,Impregnatie!$A$4:$A$25,0),MATCH(D58,Impregnatie!$B$3:$O$3,0))*(1+Instellingen!$B$4),"")</f>
        <v/>
      </c>
      <c r="M58" s="10">
        <f>IF(AND(ISNUMBER(E58),ISNUMBER(L58)),E58*L58,0)</f>
        <v/>
      </c>
      <c r="N58" s="10">
        <f>IFERROR(INDEX('Droge kous'!$B$4:$T$33,MATCH(C58,'Droge kous'!$A$4:$A$33,0),MATCH(D58,'Droge kous'!$B$3:$T$3,0)),"")</f>
        <v/>
      </c>
      <c r="O58" s="10">
        <f>IF(AND(ISNUMBER(G58),ISNUMBER(N58)),G58*N58,0)</f>
        <v/>
      </c>
      <c r="P58" s="10">
        <f>IF(ISNUMBER(C58),IFERROR(N(H58)*VLOOKUP(C58,Sundry!$A$4:$G$20,4,TRUE),0),0)</f>
        <v/>
      </c>
      <c r="Q58" s="10">
        <f>IF(ISNUMBER(C58),IFERROR(N(I58)*VLOOKUP(C58,Sundry!$A$4:$G$20,5,TRUE),0),0)</f>
        <v/>
      </c>
      <c r="R58" s="10">
        <f>IF(ISNUMBER(C58),IFERROR(N(J58)*VLOOKUP(C58,Sundry!$A$4:$G$20,3,TRUE),0),0)</f>
        <v/>
      </c>
      <c r="S58" s="10">
        <f>N(K58)</f>
        <v/>
      </c>
      <c r="T58" s="11">
        <f>M58+O58+P58+Q58+R58+S58</f>
        <v/>
      </c>
    </row>
    <row r="59">
      <c r="A59" s="5" t="n"/>
      <c r="B59" s="5" t="n"/>
      <c r="C59" s="6" t="n"/>
      <c r="D59" s="6" t="n"/>
      <c r="E59" s="7" t="n"/>
      <c r="F59" s="7" t="n"/>
      <c r="G59" s="8">
        <f>IF(ISNUMBER(F59),F59+Instellingen!$B$5,"")</f>
        <v/>
      </c>
      <c r="H59" s="6" t="n">
        <v>1</v>
      </c>
      <c r="I59" s="6" t="n">
        <v>1</v>
      </c>
      <c r="J59" s="6" t="n">
        <v>0</v>
      </c>
      <c r="K59" s="9" t="n"/>
      <c r="L59" s="10">
        <f>IFERROR(INDEX(Impregnatie!$B$4:$O$25,MATCH(C59,Impregnatie!$A$4:$A$25,0),MATCH(D59,Impregnatie!$B$3:$O$3,0))*(1+Instellingen!$B$4),"")</f>
        <v/>
      </c>
      <c r="M59" s="10">
        <f>IF(AND(ISNUMBER(E59),ISNUMBER(L59)),E59*L59,0)</f>
        <v/>
      </c>
      <c r="N59" s="10">
        <f>IFERROR(INDEX('Droge kous'!$B$4:$T$33,MATCH(C59,'Droge kous'!$A$4:$A$33,0),MATCH(D59,'Droge kous'!$B$3:$T$3,0)),"")</f>
        <v/>
      </c>
      <c r="O59" s="10">
        <f>IF(AND(ISNUMBER(G59),ISNUMBER(N59)),G59*N59,0)</f>
        <v/>
      </c>
      <c r="P59" s="10">
        <f>IF(ISNUMBER(C59),IFERROR(N(H59)*VLOOKUP(C59,Sundry!$A$4:$G$20,4,TRUE),0),0)</f>
        <v/>
      </c>
      <c r="Q59" s="10">
        <f>IF(ISNUMBER(C59),IFERROR(N(I59)*VLOOKUP(C59,Sundry!$A$4:$G$20,5,TRUE),0),0)</f>
        <v/>
      </c>
      <c r="R59" s="10">
        <f>IF(ISNUMBER(C59),IFERROR(N(J59)*VLOOKUP(C59,Sundry!$A$4:$G$20,3,TRUE),0),0)</f>
        <v/>
      </c>
      <c r="S59" s="10">
        <f>N(K59)</f>
        <v/>
      </c>
      <c r="T59" s="11">
        <f>M59+O59+P59+Q59+R59+S59</f>
        <v/>
      </c>
    </row>
    <row r="60">
      <c r="A60" s="5" t="n"/>
      <c r="B60" s="5" t="n"/>
      <c r="C60" s="6" t="n"/>
      <c r="D60" s="6" t="n"/>
      <c r="E60" s="7" t="n"/>
      <c r="F60" s="7" t="n"/>
      <c r="G60" s="8">
        <f>IF(ISNUMBER(F60),F60+Instellingen!$B$5,"")</f>
        <v/>
      </c>
      <c r="H60" s="6" t="n">
        <v>1</v>
      </c>
      <c r="I60" s="6" t="n">
        <v>1</v>
      </c>
      <c r="J60" s="6" t="n">
        <v>0</v>
      </c>
      <c r="K60" s="9" t="n"/>
      <c r="L60" s="10">
        <f>IFERROR(INDEX(Impregnatie!$B$4:$O$25,MATCH(C60,Impregnatie!$A$4:$A$25,0),MATCH(D60,Impregnatie!$B$3:$O$3,0))*(1+Instellingen!$B$4),"")</f>
        <v/>
      </c>
      <c r="M60" s="10">
        <f>IF(AND(ISNUMBER(E60),ISNUMBER(L60)),E60*L60,0)</f>
        <v/>
      </c>
      <c r="N60" s="10">
        <f>IFERROR(INDEX('Droge kous'!$B$4:$T$33,MATCH(C60,'Droge kous'!$A$4:$A$33,0),MATCH(D60,'Droge kous'!$B$3:$T$3,0)),"")</f>
        <v/>
      </c>
      <c r="O60" s="10">
        <f>IF(AND(ISNUMBER(G60),ISNUMBER(N60)),G60*N60,0)</f>
        <v/>
      </c>
      <c r="P60" s="10">
        <f>IF(ISNUMBER(C60),IFERROR(N(H60)*VLOOKUP(C60,Sundry!$A$4:$G$20,4,TRUE),0),0)</f>
        <v/>
      </c>
      <c r="Q60" s="10">
        <f>IF(ISNUMBER(C60),IFERROR(N(I60)*VLOOKUP(C60,Sundry!$A$4:$G$20,5,TRUE),0),0)</f>
        <v/>
      </c>
      <c r="R60" s="10">
        <f>IF(ISNUMBER(C60),IFERROR(N(J60)*VLOOKUP(C60,Sundry!$A$4:$G$20,3,TRUE),0),0)</f>
        <v/>
      </c>
      <c r="S60" s="10">
        <f>N(K60)</f>
        <v/>
      </c>
      <c r="T60" s="11">
        <f>M60+O60+P60+Q60+R60+S60</f>
        <v/>
      </c>
    </row>
    <row r="61">
      <c r="A61" s="5" t="n"/>
      <c r="B61" s="5" t="n"/>
      <c r="C61" s="6" t="n"/>
      <c r="D61" s="6" t="n"/>
      <c r="E61" s="7" t="n"/>
      <c r="F61" s="7" t="n"/>
      <c r="G61" s="8">
        <f>IF(ISNUMBER(F61),F61+Instellingen!$B$5,"")</f>
        <v/>
      </c>
      <c r="H61" s="6" t="n">
        <v>1</v>
      </c>
      <c r="I61" s="6" t="n">
        <v>1</v>
      </c>
      <c r="J61" s="6" t="n">
        <v>0</v>
      </c>
      <c r="K61" s="9" t="n"/>
      <c r="L61" s="10">
        <f>IFERROR(INDEX(Impregnatie!$B$4:$O$25,MATCH(C61,Impregnatie!$A$4:$A$25,0),MATCH(D61,Impregnatie!$B$3:$O$3,0))*(1+Instellingen!$B$4),"")</f>
        <v/>
      </c>
      <c r="M61" s="10">
        <f>IF(AND(ISNUMBER(E61),ISNUMBER(L61)),E61*L61,0)</f>
        <v/>
      </c>
      <c r="N61" s="10">
        <f>IFERROR(INDEX('Droge kous'!$B$4:$T$33,MATCH(C61,'Droge kous'!$A$4:$A$33,0),MATCH(D61,'Droge kous'!$B$3:$T$3,0)),"")</f>
        <v/>
      </c>
      <c r="O61" s="10">
        <f>IF(AND(ISNUMBER(G61),ISNUMBER(N61)),G61*N61,0)</f>
        <v/>
      </c>
      <c r="P61" s="10">
        <f>IF(ISNUMBER(C61),IFERROR(N(H61)*VLOOKUP(C61,Sundry!$A$4:$G$20,4,TRUE),0),0)</f>
        <v/>
      </c>
      <c r="Q61" s="10">
        <f>IF(ISNUMBER(C61),IFERROR(N(I61)*VLOOKUP(C61,Sundry!$A$4:$G$20,5,TRUE),0),0)</f>
        <v/>
      </c>
      <c r="R61" s="10">
        <f>IF(ISNUMBER(C61),IFERROR(N(J61)*VLOOKUP(C61,Sundry!$A$4:$G$20,3,TRUE),0),0)</f>
        <v/>
      </c>
      <c r="S61" s="10">
        <f>N(K61)</f>
        <v/>
      </c>
      <c r="T61" s="11">
        <f>M61+O61+P61+Q61+R61+S61</f>
        <v/>
      </c>
    </row>
    <row r="62">
      <c r="A62" s="5" t="n"/>
      <c r="B62" s="5" t="n"/>
      <c r="C62" s="6" t="n"/>
      <c r="D62" s="6" t="n"/>
      <c r="E62" s="7" t="n"/>
      <c r="F62" s="7" t="n"/>
      <c r="G62" s="8">
        <f>IF(ISNUMBER(F62),F62+Instellingen!$B$5,"")</f>
        <v/>
      </c>
      <c r="H62" s="6" t="n">
        <v>1</v>
      </c>
      <c r="I62" s="6" t="n">
        <v>1</v>
      </c>
      <c r="J62" s="6" t="n">
        <v>0</v>
      </c>
      <c r="K62" s="9" t="n"/>
      <c r="L62" s="10">
        <f>IFERROR(INDEX(Impregnatie!$B$4:$O$25,MATCH(C62,Impregnatie!$A$4:$A$25,0),MATCH(D62,Impregnatie!$B$3:$O$3,0))*(1+Instellingen!$B$4),"")</f>
        <v/>
      </c>
      <c r="M62" s="10">
        <f>IF(AND(ISNUMBER(E62),ISNUMBER(L62)),E62*L62,0)</f>
        <v/>
      </c>
      <c r="N62" s="10">
        <f>IFERROR(INDEX('Droge kous'!$B$4:$T$33,MATCH(C62,'Droge kous'!$A$4:$A$33,0),MATCH(D62,'Droge kous'!$B$3:$T$3,0)),"")</f>
        <v/>
      </c>
      <c r="O62" s="10">
        <f>IF(AND(ISNUMBER(G62),ISNUMBER(N62)),G62*N62,0)</f>
        <v/>
      </c>
      <c r="P62" s="10">
        <f>IF(ISNUMBER(C62),IFERROR(N(H62)*VLOOKUP(C62,Sundry!$A$4:$G$20,4,TRUE),0),0)</f>
        <v/>
      </c>
      <c r="Q62" s="10">
        <f>IF(ISNUMBER(C62),IFERROR(N(I62)*VLOOKUP(C62,Sundry!$A$4:$G$20,5,TRUE),0),0)</f>
        <v/>
      </c>
      <c r="R62" s="10">
        <f>IF(ISNUMBER(C62),IFERROR(N(J62)*VLOOKUP(C62,Sundry!$A$4:$G$20,3,TRUE),0),0)</f>
        <v/>
      </c>
      <c r="S62" s="10">
        <f>N(K62)</f>
        <v/>
      </c>
      <c r="T62" s="11">
        <f>M62+O62+P62+Q62+R62+S62</f>
        <v/>
      </c>
    </row>
    <row r="63">
      <c r="A63" s="5" t="n"/>
      <c r="B63" s="5" t="n"/>
      <c r="C63" s="6" t="n"/>
      <c r="D63" s="6" t="n"/>
      <c r="E63" s="7" t="n"/>
      <c r="F63" s="7" t="n"/>
      <c r="G63" s="8">
        <f>IF(ISNUMBER(F63),F63+Instellingen!$B$5,"")</f>
        <v/>
      </c>
      <c r="H63" s="6" t="n">
        <v>1</v>
      </c>
      <c r="I63" s="6" t="n">
        <v>1</v>
      </c>
      <c r="J63" s="6" t="n">
        <v>0</v>
      </c>
      <c r="K63" s="9" t="n"/>
      <c r="L63" s="10">
        <f>IFERROR(INDEX(Impregnatie!$B$4:$O$25,MATCH(C63,Impregnatie!$A$4:$A$25,0),MATCH(D63,Impregnatie!$B$3:$O$3,0))*(1+Instellingen!$B$4),"")</f>
        <v/>
      </c>
      <c r="M63" s="10">
        <f>IF(AND(ISNUMBER(E63),ISNUMBER(L63)),E63*L63,0)</f>
        <v/>
      </c>
      <c r="N63" s="10">
        <f>IFERROR(INDEX('Droge kous'!$B$4:$T$33,MATCH(C63,'Droge kous'!$A$4:$A$33,0),MATCH(D63,'Droge kous'!$B$3:$T$3,0)),"")</f>
        <v/>
      </c>
      <c r="O63" s="10">
        <f>IF(AND(ISNUMBER(G63),ISNUMBER(N63)),G63*N63,0)</f>
        <v/>
      </c>
      <c r="P63" s="10">
        <f>IF(ISNUMBER(C63),IFERROR(N(H63)*VLOOKUP(C63,Sundry!$A$4:$G$20,4,TRUE),0),0)</f>
        <v/>
      </c>
      <c r="Q63" s="10">
        <f>IF(ISNUMBER(C63),IFERROR(N(I63)*VLOOKUP(C63,Sundry!$A$4:$G$20,5,TRUE),0),0)</f>
        <v/>
      </c>
      <c r="R63" s="10">
        <f>IF(ISNUMBER(C63),IFERROR(N(J63)*VLOOKUP(C63,Sundry!$A$4:$G$20,3,TRUE),0),0)</f>
        <v/>
      </c>
      <c r="S63" s="10">
        <f>N(K63)</f>
        <v/>
      </c>
      <c r="T63" s="11">
        <f>M63+O63+P63+Q63+R63+S63</f>
        <v/>
      </c>
    </row>
    <row r="64">
      <c r="A64" s="5" t="n"/>
      <c r="B64" s="5" t="n"/>
      <c r="C64" s="6" t="n"/>
      <c r="D64" s="6" t="n"/>
      <c r="E64" s="7" t="n"/>
      <c r="F64" s="7" t="n"/>
      <c r="G64" s="8">
        <f>IF(ISNUMBER(F64),F64+Instellingen!$B$5,"")</f>
        <v/>
      </c>
      <c r="H64" s="6" t="n">
        <v>1</v>
      </c>
      <c r="I64" s="6" t="n">
        <v>1</v>
      </c>
      <c r="J64" s="6" t="n">
        <v>0</v>
      </c>
      <c r="K64" s="9" t="n"/>
      <c r="L64" s="10">
        <f>IFERROR(INDEX(Impregnatie!$B$4:$O$25,MATCH(C64,Impregnatie!$A$4:$A$25,0),MATCH(D64,Impregnatie!$B$3:$O$3,0))*(1+Instellingen!$B$4),"")</f>
        <v/>
      </c>
      <c r="M64" s="10">
        <f>IF(AND(ISNUMBER(E64),ISNUMBER(L64)),E64*L64,0)</f>
        <v/>
      </c>
      <c r="N64" s="10">
        <f>IFERROR(INDEX('Droge kous'!$B$4:$T$33,MATCH(C64,'Droge kous'!$A$4:$A$33,0),MATCH(D64,'Droge kous'!$B$3:$T$3,0)),"")</f>
        <v/>
      </c>
      <c r="O64" s="10">
        <f>IF(AND(ISNUMBER(G64),ISNUMBER(N64)),G64*N64,0)</f>
        <v/>
      </c>
      <c r="P64" s="10">
        <f>IF(ISNUMBER(C64),IFERROR(N(H64)*VLOOKUP(C64,Sundry!$A$4:$G$20,4,TRUE),0),0)</f>
        <v/>
      </c>
      <c r="Q64" s="10">
        <f>IF(ISNUMBER(C64),IFERROR(N(I64)*VLOOKUP(C64,Sundry!$A$4:$G$20,5,TRUE),0),0)</f>
        <v/>
      </c>
      <c r="R64" s="10">
        <f>IF(ISNUMBER(C64),IFERROR(N(J64)*VLOOKUP(C64,Sundry!$A$4:$G$20,3,TRUE),0),0)</f>
        <v/>
      </c>
      <c r="S64" s="10">
        <f>N(K64)</f>
        <v/>
      </c>
      <c r="T64" s="11">
        <f>M64+O64+P64+Q64+R64+S64</f>
        <v/>
      </c>
    </row>
    <row r="65">
      <c r="A65" s="5" t="n"/>
      <c r="B65" s="5" t="n"/>
      <c r="C65" s="6" t="n"/>
      <c r="D65" s="6" t="n"/>
      <c r="E65" s="7" t="n"/>
      <c r="F65" s="7" t="n"/>
      <c r="G65" s="8">
        <f>IF(ISNUMBER(F65),F65+Instellingen!$B$5,"")</f>
        <v/>
      </c>
      <c r="H65" s="6" t="n">
        <v>1</v>
      </c>
      <c r="I65" s="6" t="n">
        <v>1</v>
      </c>
      <c r="J65" s="6" t="n">
        <v>0</v>
      </c>
      <c r="K65" s="9" t="n"/>
      <c r="L65" s="10">
        <f>IFERROR(INDEX(Impregnatie!$B$4:$O$25,MATCH(C65,Impregnatie!$A$4:$A$25,0),MATCH(D65,Impregnatie!$B$3:$O$3,0))*(1+Instellingen!$B$4),"")</f>
        <v/>
      </c>
      <c r="M65" s="10">
        <f>IF(AND(ISNUMBER(E65),ISNUMBER(L65)),E65*L65,0)</f>
        <v/>
      </c>
      <c r="N65" s="10">
        <f>IFERROR(INDEX('Droge kous'!$B$4:$T$33,MATCH(C65,'Droge kous'!$A$4:$A$33,0),MATCH(D65,'Droge kous'!$B$3:$T$3,0)),"")</f>
        <v/>
      </c>
      <c r="O65" s="10">
        <f>IF(AND(ISNUMBER(G65),ISNUMBER(N65)),G65*N65,0)</f>
        <v/>
      </c>
      <c r="P65" s="10">
        <f>IF(ISNUMBER(C65),IFERROR(N(H65)*VLOOKUP(C65,Sundry!$A$4:$G$20,4,TRUE),0),0)</f>
        <v/>
      </c>
      <c r="Q65" s="10">
        <f>IF(ISNUMBER(C65),IFERROR(N(I65)*VLOOKUP(C65,Sundry!$A$4:$G$20,5,TRUE),0),0)</f>
        <v/>
      </c>
      <c r="R65" s="10">
        <f>IF(ISNUMBER(C65),IFERROR(N(J65)*VLOOKUP(C65,Sundry!$A$4:$G$20,3,TRUE),0),0)</f>
        <v/>
      </c>
      <c r="S65" s="10">
        <f>N(K65)</f>
        <v/>
      </c>
      <c r="T65" s="11">
        <f>M65+O65+P65+Q65+R65+S65</f>
        <v/>
      </c>
    </row>
    <row r="66">
      <c r="A66" s="5" t="n"/>
      <c r="B66" s="5" t="n"/>
      <c r="C66" s="6" t="n"/>
      <c r="D66" s="6" t="n"/>
      <c r="E66" s="7" t="n"/>
      <c r="F66" s="7" t="n"/>
      <c r="G66" s="8">
        <f>IF(ISNUMBER(F66),F66+Instellingen!$B$5,"")</f>
        <v/>
      </c>
      <c r="H66" s="6" t="n">
        <v>1</v>
      </c>
      <c r="I66" s="6" t="n">
        <v>1</v>
      </c>
      <c r="J66" s="6" t="n">
        <v>0</v>
      </c>
      <c r="K66" s="9" t="n"/>
      <c r="L66" s="10">
        <f>IFERROR(INDEX(Impregnatie!$B$4:$O$25,MATCH(C66,Impregnatie!$A$4:$A$25,0),MATCH(D66,Impregnatie!$B$3:$O$3,0))*(1+Instellingen!$B$4),"")</f>
        <v/>
      </c>
      <c r="M66" s="10">
        <f>IF(AND(ISNUMBER(E66),ISNUMBER(L66)),E66*L66,0)</f>
        <v/>
      </c>
      <c r="N66" s="10">
        <f>IFERROR(INDEX('Droge kous'!$B$4:$T$33,MATCH(C66,'Droge kous'!$A$4:$A$33,0),MATCH(D66,'Droge kous'!$B$3:$T$3,0)),"")</f>
        <v/>
      </c>
      <c r="O66" s="10">
        <f>IF(AND(ISNUMBER(G66),ISNUMBER(N66)),G66*N66,0)</f>
        <v/>
      </c>
      <c r="P66" s="10">
        <f>IF(ISNUMBER(C66),IFERROR(N(H66)*VLOOKUP(C66,Sundry!$A$4:$G$20,4,TRUE),0),0)</f>
        <v/>
      </c>
      <c r="Q66" s="10">
        <f>IF(ISNUMBER(C66),IFERROR(N(I66)*VLOOKUP(C66,Sundry!$A$4:$G$20,5,TRUE),0),0)</f>
        <v/>
      </c>
      <c r="R66" s="10">
        <f>IF(ISNUMBER(C66),IFERROR(N(J66)*VLOOKUP(C66,Sundry!$A$4:$G$20,3,TRUE),0),0)</f>
        <v/>
      </c>
      <c r="S66" s="10">
        <f>N(K66)</f>
        <v/>
      </c>
      <c r="T66" s="11">
        <f>M66+O66+P66+Q66+R66+S66</f>
        <v/>
      </c>
    </row>
    <row r="67">
      <c r="A67" s="5" t="n"/>
      <c r="B67" s="5" t="n"/>
      <c r="C67" s="6" t="n"/>
      <c r="D67" s="6" t="n"/>
      <c r="E67" s="7" t="n"/>
      <c r="F67" s="7" t="n"/>
      <c r="G67" s="8">
        <f>IF(ISNUMBER(F67),F67+Instellingen!$B$5,"")</f>
        <v/>
      </c>
      <c r="H67" s="6" t="n">
        <v>1</v>
      </c>
      <c r="I67" s="6" t="n">
        <v>1</v>
      </c>
      <c r="J67" s="6" t="n">
        <v>0</v>
      </c>
      <c r="K67" s="9" t="n"/>
      <c r="L67" s="10">
        <f>IFERROR(INDEX(Impregnatie!$B$4:$O$25,MATCH(C67,Impregnatie!$A$4:$A$25,0),MATCH(D67,Impregnatie!$B$3:$O$3,0))*(1+Instellingen!$B$4),"")</f>
        <v/>
      </c>
      <c r="M67" s="10">
        <f>IF(AND(ISNUMBER(E67),ISNUMBER(L67)),E67*L67,0)</f>
        <v/>
      </c>
      <c r="N67" s="10">
        <f>IFERROR(INDEX('Droge kous'!$B$4:$T$33,MATCH(C67,'Droge kous'!$A$4:$A$33,0),MATCH(D67,'Droge kous'!$B$3:$T$3,0)),"")</f>
        <v/>
      </c>
      <c r="O67" s="10">
        <f>IF(AND(ISNUMBER(G67),ISNUMBER(N67)),G67*N67,0)</f>
        <v/>
      </c>
      <c r="P67" s="10">
        <f>IF(ISNUMBER(C67),IFERROR(N(H67)*VLOOKUP(C67,Sundry!$A$4:$G$20,4,TRUE),0),0)</f>
        <v/>
      </c>
      <c r="Q67" s="10">
        <f>IF(ISNUMBER(C67),IFERROR(N(I67)*VLOOKUP(C67,Sundry!$A$4:$G$20,5,TRUE),0),0)</f>
        <v/>
      </c>
      <c r="R67" s="10">
        <f>IF(ISNUMBER(C67),IFERROR(N(J67)*VLOOKUP(C67,Sundry!$A$4:$G$20,3,TRUE),0),0)</f>
        <v/>
      </c>
      <c r="S67" s="10">
        <f>N(K67)</f>
        <v/>
      </c>
      <c r="T67" s="11">
        <f>M67+O67+P67+Q67+R67+S67</f>
        <v/>
      </c>
    </row>
    <row r="68">
      <c r="A68" s="5" t="n"/>
      <c r="B68" s="5" t="n"/>
      <c r="C68" s="6" t="n"/>
      <c r="D68" s="6" t="n"/>
      <c r="E68" s="7" t="n"/>
      <c r="F68" s="7" t="n"/>
      <c r="G68" s="8">
        <f>IF(ISNUMBER(F68),F68+Instellingen!$B$5,"")</f>
        <v/>
      </c>
      <c r="H68" s="6" t="n">
        <v>1</v>
      </c>
      <c r="I68" s="6" t="n">
        <v>1</v>
      </c>
      <c r="J68" s="6" t="n">
        <v>0</v>
      </c>
      <c r="K68" s="9" t="n"/>
      <c r="L68" s="10">
        <f>IFERROR(INDEX(Impregnatie!$B$4:$O$25,MATCH(C68,Impregnatie!$A$4:$A$25,0),MATCH(D68,Impregnatie!$B$3:$O$3,0))*(1+Instellingen!$B$4),"")</f>
        <v/>
      </c>
      <c r="M68" s="10">
        <f>IF(AND(ISNUMBER(E68),ISNUMBER(L68)),E68*L68,0)</f>
        <v/>
      </c>
      <c r="N68" s="10">
        <f>IFERROR(INDEX('Droge kous'!$B$4:$T$33,MATCH(C68,'Droge kous'!$A$4:$A$33,0),MATCH(D68,'Droge kous'!$B$3:$T$3,0)),"")</f>
        <v/>
      </c>
      <c r="O68" s="10">
        <f>IF(AND(ISNUMBER(G68),ISNUMBER(N68)),G68*N68,0)</f>
        <v/>
      </c>
      <c r="P68" s="10">
        <f>IF(ISNUMBER(C68),IFERROR(N(H68)*VLOOKUP(C68,Sundry!$A$4:$G$20,4,TRUE),0),0)</f>
        <v/>
      </c>
      <c r="Q68" s="10">
        <f>IF(ISNUMBER(C68),IFERROR(N(I68)*VLOOKUP(C68,Sundry!$A$4:$G$20,5,TRUE),0),0)</f>
        <v/>
      </c>
      <c r="R68" s="10">
        <f>IF(ISNUMBER(C68),IFERROR(N(J68)*VLOOKUP(C68,Sundry!$A$4:$G$20,3,TRUE),0),0)</f>
        <v/>
      </c>
      <c r="S68" s="10">
        <f>N(K68)</f>
        <v/>
      </c>
      <c r="T68" s="11">
        <f>M68+O68+P68+Q68+R68+S68</f>
        <v/>
      </c>
    </row>
    <row r="69">
      <c r="A69" s="5" t="n"/>
      <c r="B69" s="5" t="n"/>
      <c r="C69" s="6" t="n"/>
      <c r="D69" s="6" t="n"/>
      <c r="E69" s="7" t="n"/>
      <c r="F69" s="7" t="n"/>
      <c r="G69" s="8">
        <f>IF(ISNUMBER(F69),F69+Instellingen!$B$5,"")</f>
        <v/>
      </c>
      <c r="H69" s="6" t="n">
        <v>1</v>
      </c>
      <c r="I69" s="6" t="n">
        <v>1</v>
      </c>
      <c r="J69" s="6" t="n">
        <v>0</v>
      </c>
      <c r="K69" s="9" t="n"/>
      <c r="L69" s="10">
        <f>IFERROR(INDEX(Impregnatie!$B$4:$O$25,MATCH(C69,Impregnatie!$A$4:$A$25,0),MATCH(D69,Impregnatie!$B$3:$O$3,0))*(1+Instellingen!$B$4),"")</f>
        <v/>
      </c>
      <c r="M69" s="10">
        <f>IF(AND(ISNUMBER(E69),ISNUMBER(L69)),E69*L69,0)</f>
        <v/>
      </c>
      <c r="N69" s="10">
        <f>IFERROR(INDEX('Droge kous'!$B$4:$T$33,MATCH(C69,'Droge kous'!$A$4:$A$33,0),MATCH(D69,'Droge kous'!$B$3:$T$3,0)),"")</f>
        <v/>
      </c>
      <c r="O69" s="10">
        <f>IF(AND(ISNUMBER(G69),ISNUMBER(N69)),G69*N69,0)</f>
        <v/>
      </c>
      <c r="P69" s="10">
        <f>IF(ISNUMBER(C69),IFERROR(N(H69)*VLOOKUP(C69,Sundry!$A$4:$G$20,4,TRUE),0),0)</f>
        <v/>
      </c>
      <c r="Q69" s="10">
        <f>IF(ISNUMBER(C69),IFERROR(N(I69)*VLOOKUP(C69,Sundry!$A$4:$G$20,5,TRUE),0),0)</f>
        <v/>
      </c>
      <c r="R69" s="10">
        <f>IF(ISNUMBER(C69),IFERROR(N(J69)*VLOOKUP(C69,Sundry!$A$4:$G$20,3,TRUE),0),0)</f>
        <v/>
      </c>
      <c r="S69" s="10">
        <f>N(K69)</f>
        <v/>
      </c>
      <c r="T69" s="11">
        <f>M69+O69+P69+Q69+R69+S69</f>
        <v/>
      </c>
    </row>
    <row r="70">
      <c r="A70" s="5" t="n"/>
      <c r="B70" s="5" t="n"/>
      <c r="C70" s="6" t="n"/>
      <c r="D70" s="6" t="n"/>
      <c r="E70" s="7" t="n"/>
      <c r="F70" s="7" t="n"/>
      <c r="G70" s="8">
        <f>IF(ISNUMBER(F70),F70+Instellingen!$B$5,"")</f>
        <v/>
      </c>
      <c r="H70" s="6" t="n">
        <v>1</v>
      </c>
      <c r="I70" s="6" t="n">
        <v>1</v>
      </c>
      <c r="J70" s="6" t="n">
        <v>0</v>
      </c>
      <c r="K70" s="9" t="n"/>
      <c r="L70" s="10">
        <f>IFERROR(INDEX(Impregnatie!$B$4:$O$25,MATCH(C70,Impregnatie!$A$4:$A$25,0),MATCH(D70,Impregnatie!$B$3:$O$3,0))*(1+Instellingen!$B$4),"")</f>
        <v/>
      </c>
      <c r="M70" s="10">
        <f>IF(AND(ISNUMBER(E70),ISNUMBER(L70)),E70*L70,0)</f>
        <v/>
      </c>
      <c r="N70" s="10">
        <f>IFERROR(INDEX('Droge kous'!$B$4:$T$33,MATCH(C70,'Droge kous'!$A$4:$A$33,0),MATCH(D70,'Droge kous'!$B$3:$T$3,0)),"")</f>
        <v/>
      </c>
      <c r="O70" s="10">
        <f>IF(AND(ISNUMBER(G70),ISNUMBER(N70)),G70*N70,0)</f>
        <v/>
      </c>
      <c r="P70" s="10">
        <f>IF(ISNUMBER(C70),IFERROR(N(H70)*VLOOKUP(C70,Sundry!$A$4:$G$20,4,TRUE),0),0)</f>
        <v/>
      </c>
      <c r="Q70" s="10">
        <f>IF(ISNUMBER(C70),IFERROR(N(I70)*VLOOKUP(C70,Sundry!$A$4:$G$20,5,TRUE),0),0)</f>
        <v/>
      </c>
      <c r="R70" s="10">
        <f>IF(ISNUMBER(C70),IFERROR(N(J70)*VLOOKUP(C70,Sundry!$A$4:$G$20,3,TRUE),0),0)</f>
        <v/>
      </c>
      <c r="S70" s="10">
        <f>N(K70)</f>
        <v/>
      </c>
      <c r="T70" s="11">
        <f>M70+O70+P70+Q70+R70+S70</f>
        <v/>
      </c>
    </row>
    <row r="71">
      <c r="A71" s="5" t="n"/>
      <c r="B71" s="5" t="n"/>
      <c r="C71" s="6" t="n"/>
      <c r="D71" s="6" t="n"/>
      <c r="E71" s="7" t="n"/>
      <c r="F71" s="7" t="n"/>
      <c r="G71" s="8">
        <f>IF(ISNUMBER(F71),F71+Instellingen!$B$5,"")</f>
        <v/>
      </c>
      <c r="H71" s="6" t="n">
        <v>1</v>
      </c>
      <c r="I71" s="6" t="n">
        <v>1</v>
      </c>
      <c r="J71" s="6" t="n">
        <v>0</v>
      </c>
      <c r="K71" s="9" t="n"/>
      <c r="L71" s="10">
        <f>IFERROR(INDEX(Impregnatie!$B$4:$O$25,MATCH(C71,Impregnatie!$A$4:$A$25,0),MATCH(D71,Impregnatie!$B$3:$O$3,0))*(1+Instellingen!$B$4),"")</f>
        <v/>
      </c>
      <c r="M71" s="10">
        <f>IF(AND(ISNUMBER(E71),ISNUMBER(L71)),E71*L71,0)</f>
        <v/>
      </c>
      <c r="N71" s="10">
        <f>IFERROR(INDEX('Droge kous'!$B$4:$T$33,MATCH(C71,'Droge kous'!$A$4:$A$33,0),MATCH(D71,'Droge kous'!$B$3:$T$3,0)),"")</f>
        <v/>
      </c>
      <c r="O71" s="10">
        <f>IF(AND(ISNUMBER(G71),ISNUMBER(N71)),G71*N71,0)</f>
        <v/>
      </c>
      <c r="P71" s="10">
        <f>IF(ISNUMBER(C71),IFERROR(N(H71)*VLOOKUP(C71,Sundry!$A$4:$G$20,4,TRUE),0),0)</f>
        <v/>
      </c>
      <c r="Q71" s="10">
        <f>IF(ISNUMBER(C71),IFERROR(N(I71)*VLOOKUP(C71,Sundry!$A$4:$G$20,5,TRUE),0),0)</f>
        <v/>
      </c>
      <c r="R71" s="10">
        <f>IF(ISNUMBER(C71),IFERROR(N(J71)*VLOOKUP(C71,Sundry!$A$4:$G$20,3,TRUE),0),0)</f>
        <v/>
      </c>
      <c r="S71" s="10">
        <f>N(K71)</f>
        <v/>
      </c>
      <c r="T71" s="11">
        <f>M71+O71+P71+Q71+R71+S71</f>
        <v/>
      </c>
    </row>
    <row r="72">
      <c r="A72" s="5" t="n"/>
      <c r="B72" s="5" t="n"/>
      <c r="C72" s="6" t="n"/>
      <c r="D72" s="6" t="n"/>
      <c r="E72" s="7" t="n"/>
      <c r="F72" s="7" t="n"/>
      <c r="G72" s="8">
        <f>IF(ISNUMBER(F72),F72+Instellingen!$B$5,"")</f>
        <v/>
      </c>
      <c r="H72" s="6" t="n">
        <v>1</v>
      </c>
      <c r="I72" s="6" t="n">
        <v>1</v>
      </c>
      <c r="J72" s="6" t="n">
        <v>0</v>
      </c>
      <c r="K72" s="9" t="n"/>
      <c r="L72" s="10">
        <f>IFERROR(INDEX(Impregnatie!$B$4:$O$25,MATCH(C72,Impregnatie!$A$4:$A$25,0),MATCH(D72,Impregnatie!$B$3:$O$3,0))*(1+Instellingen!$B$4),"")</f>
        <v/>
      </c>
      <c r="M72" s="10">
        <f>IF(AND(ISNUMBER(E72),ISNUMBER(L72)),E72*L72,0)</f>
        <v/>
      </c>
      <c r="N72" s="10">
        <f>IFERROR(INDEX('Droge kous'!$B$4:$T$33,MATCH(C72,'Droge kous'!$A$4:$A$33,0),MATCH(D72,'Droge kous'!$B$3:$T$3,0)),"")</f>
        <v/>
      </c>
      <c r="O72" s="10">
        <f>IF(AND(ISNUMBER(G72),ISNUMBER(N72)),G72*N72,0)</f>
        <v/>
      </c>
      <c r="P72" s="10">
        <f>IF(ISNUMBER(C72),IFERROR(N(H72)*VLOOKUP(C72,Sundry!$A$4:$G$20,4,TRUE),0),0)</f>
        <v/>
      </c>
      <c r="Q72" s="10">
        <f>IF(ISNUMBER(C72),IFERROR(N(I72)*VLOOKUP(C72,Sundry!$A$4:$G$20,5,TRUE),0),0)</f>
        <v/>
      </c>
      <c r="R72" s="10">
        <f>IF(ISNUMBER(C72),IFERROR(N(J72)*VLOOKUP(C72,Sundry!$A$4:$G$20,3,TRUE),0),0)</f>
        <v/>
      </c>
      <c r="S72" s="10">
        <f>N(K72)</f>
        <v/>
      </c>
      <c r="T72" s="11">
        <f>M72+O72+P72+Q72+R72+S72</f>
        <v/>
      </c>
    </row>
    <row r="73">
      <c r="A73" s="5" t="n"/>
      <c r="B73" s="5" t="n"/>
      <c r="C73" s="6" t="n"/>
      <c r="D73" s="6" t="n"/>
      <c r="E73" s="7" t="n"/>
      <c r="F73" s="7" t="n"/>
      <c r="G73" s="8">
        <f>IF(ISNUMBER(F73),F73+Instellingen!$B$5,"")</f>
        <v/>
      </c>
      <c r="H73" s="6" t="n">
        <v>1</v>
      </c>
      <c r="I73" s="6" t="n">
        <v>1</v>
      </c>
      <c r="J73" s="6" t="n">
        <v>0</v>
      </c>
      <c r="K73" s="9" t="n"/>
      <c r="L73" s="10">
        <f>IFERROR(INDEX(Impregnatie!$B$4:$O$25,MATCH(C73,Impregnatie!$A$4:$A$25,0),MATCH(D73,Impregnatie!$B$3:$O$3,0))*(1+Instellingen!$B$4),"")</f>
        <v/>
      </c>
      <c r="M73" s="10">
        <f>IF(AND(ISNUMBER(E73),ISNUMBER(L73)),E73*L73,0)</f>
        <v/>
      </c>
      <c r="N73" s="10">
        <f>IFERROR(INDEX('Droge kous'!$B$4:$T$33,MATCH(C73,'Droge kous'!$A$4:$A$33,0),MATCH(D73,'Droge kous'!$B$3:$T$3,0)),"")</f>
        <v/>
      </c>
      <c r="O73" s="10">
        <f>IF(AND(ISNUMBER(G73),ISNUMBER(N73)),G73*N73,0)</f>
        <v/>
      </c>
      <c r="P73" s="10">
        <f>IF(ISNUMBER(C73),IFERROR(N(H73)*VLOOKUP(C73,Sundry!$A$4:$G$20,4,TRUE),0),0)</f>
        <v/>
      </c>
      <c r="Q73" s="10">
        <f>IF(ISNUMBER(C73),IFERROR(N(I73)*VLOOKUP(C73,Sundry!$A$4:$G$20,5,TRUE),0),0)</f>
        <v/>
      </c>
      <c r="R73" s="10">
        <f>IF(ISNUMBER(C73),IFERROR(N(J73)*VLOOKUP(C73,Sundry!$A$4:$G$20,3,TRUE),0),0)</f>
        <v/>
      </c>
      <c r="S73" s="10">
        <f>N(K73)</f>
        <v/>
      </c>
      <c r="T73" s="11">
        <f>M73+O73+P73+Q73+R73+S73</f>
        <v/>
      </c>
    </row>
    <row r="74">
      <c r="A74" s="5" t="n"/>
      <c r="B74" s="5" t="n"/>
      <c r="C74" s="6" t="n"/>
      <c r="D74" s="6" t="n"/>
      <c r="E74" s="7" t="n"/>
      <c r="F74" s="7" t="n"/>
      <c r="G74" s="8">
        <f>IF(ISNUMBER(F74),F74+Instellingen!$B$5,"")</f>
        <v/>
      </c>
      <c r="H74" s="6" t="n">
        <v>1</v>
      </c>
      <c r="I74" s="6" t="n">
        <v>1</v>
      </c>
      <c r="J74" s="6" t="n">
        <v>0</v>
      </c>
      <c r="K74" s="9" t="n"/>
      <c r="L74" s="10">
        <f>IFERROR(INDEX(Impregnatie!$B$4:$O$25,MATCH(C74,Impregnatie!$A$4:$A$25,0),MATCH(D74,Impregnatie!$B$3:$O$3,0))*(1+Instellingen!$B$4),"")</f>
        <v/>
      </c>
      <c r="M74" s="10">
        <f>IF(AND(ISNUMBER(E74),ISNUMBER(L74)),E74*L74,0)</f>
        <v/>
      </c>
      <c r="N74" s="10">
        <f>IFERROR(INDEX('Droge kous'!$B$4:$T$33,MATCH(C74,'Droge kous'!$A$4:$A$33,0),MATCH(D74,'Droge kous'!$B$3:$T$3,0)),"")</f>
        <v/>
      </c>
      <c r="O74" s="10">
        <f>IF(AND(ISNUMBER(G74),ISNUMBER(N74)),G74*N74,0)</f>
        <v/>
      </c>
      <c r="P74" s="10">
        <f>IF(ISNUMBER(C74),IFERROR(N(H74)*VLOOKUP(C74,Sundry!$A$4:$G$20,4,TRUE),0),0)</f>
        <v/>
      </c>
      <c r="Q74" s="10">
        <f>IF(ISNUMBER(C74),IFERROR(N(I74)*VLOOKUP(C74,Sundry!$A$4:$G$20,5,TRUE),0),0)</f>
        <v/>
      </c>
      <c r="R74" s="10">
        <f>IF(ISNUMBER(C74),IFERROR(N(J74)*VLOOKUP(C74,Sundry!$A$4:$G$20,3,TRUE),0),0)</f>
        <v/>
      </c>
      <c r="S74" s="10">
        <f>N(K74)</f>
        <v/>
      </c>
      <c r="T74" s="11">
        <f>M74+O74+P74+Q74+R74+S74</f>
        <v/>
      </c>
    </row>
    <row r="75" ht="20" customHeight="1">
      <c r="A75" s="17" t="inlineStr">
        <is>
          <t>TOTAAL</t>
        </is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9">
        <f>SUM(M5:M74)</f>
        <v/>
      </c>
      <c r="N75" s="18" t="n"/>
      <c r="O75" s="19">
        <f>SUM(O5:O74)</f>
        <v/>
      </c>
      <c r="P75" s="19">
        <f>SUM(P5:P74)</f>
        <v/>
      </c>
      <c r="Q75" s="19">
        <f>SUM(Q5:Q74)</f>
        <v/>
      </c>
      <c r="R75" s="19">
        <f>SUM(R5:R74)</f>
        <v/>
      </c>
      <c r="S75" s="19">
        <f>SUM(S5:S74)</f>
        <v/>
      </c>
      <c r="T75" s="19">
        <f>SUM(T5:T74)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0" customWidth="1" min="3" max="3"/>
  </cols>
  <sheetData>
    <row r="1">
      <c r="A1" s="20" t="inlineStr">
        <is>
          <t>INSTELLINGEN</t>
        </is>
      </c>
    </row>
    <row r="3">
      <c r="A3" s="3" t="inlineStr">
        <is>
          <t>Parameter</t>
        </is>
      </c>
      <c r="B3" s="3" t="inlineStr">
        <is>
          <t>Waarde</t>
        </is>
      </c>
      <c r="C3" s="3" t="inlineStr">
        <is>
          <t>Toelichting</t>
        </is>
      </c>
    </row>
    <row r="4">
      <c r="A4" s="12" t="inlineStr">
        <is>
          <t>Indexatie % op impregnatieprijs</t>
        </is>
      </c>
      <c r="B4" s="21" t="n">
        <v>0</v>
      </c>
      <c r="C4" s="22" t="inlineStr">
        <is>
          <t>Bv. 0,04 = +4%. Voorbeeldfactuur week ~+4% af van de officiele lijst (DN250x6: lijst 42,44 / factuur 44,13).</t>
        </is>
      </c>
    </row>
    <row r="5">
      <c r="A5" s="12" t="inlineStr">
        <is>
          <t>Extra meters droge kous t.o.v. omslaan</t>
        </is>
      </c>
      <c r="B5" s="6" t="n">
        <v>1</v>
      </c>
      <c r="C5" s="22" t="inlineStr">
        <is>
          <t>Droge kous (m) = Omslaan (m) + deze waarde. Uit factuur afgeleid: omslaan 4,47 -&gt; droge kous 5,47.</t>
        </is>
      </c>
    </row>
    <row r="6">
      <c r="A6" s="12" t="inlineStr">
        <is>
          <t>Standaard aantal eindstuk</t>
        </is>
      </c>
      <c r="B6" s="6" t="n">
        <v>1</v>
      </c>
      <c r="C6" s="22" t="inlineStr">
        <is>
          <t>Wordt als default in nieuwe regels gebruikt.</t>
        </is>
      </c>
    </row>
    <row r="7">
      <c r="A7" s="12" t="inlineStr">
        <is>
          <t>Standaard aantal omslaan</t>
        </is>
      </c>
      <c r="B7" s="6" t="n">
        <v>1</v>
      </c>
      <c r="C7" s="22" t="inlineStr">
        <is>
          <t>Wordt als default in nieuwe regels gebruikt.</t>
        </is>
      </c>
    </row>
    <row r="10">
      <c r="A10" s="2" t="inlineStr">
        <is>
          <t>Tip: pas de prijzen aan op de tabbladen 'Impregnatie', 'Droge kous' en 'Sundry'. Alle prijzen zijn bewerkbaar (gele/lichtblauwe cellen).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0" t="inlineStr">
        <is>
          <t>IMPREGNATIE — prijs per meter (€/m)</t>
        </is>
      </c>
    </row>
    <row r="2">
      <c r="A2" s="23" t="inlineStr">
        <is>
          <t>⚠ Controleer/actualiseer deze prijzen tegen uw actuele contract.</t>
        </is>
      </c>
    </row>
    <row r="3">
      <c r="A3" s="3" t="inlineStr">
        <is>
          <t>DN \ Dikte (mm)</t>
        </is>
      </c>
      <c r="B3" s="3" t="n">
        <v>4.5</v>
      </c>
      <c r="C3" s="3" t="n">
        <v>6</v>
      </c>
      <c r="D3" s="3" t="n">
        <v>7.5</v>
      </c>
      <c r="E3" s="3" t="n">
        <v>9</v>
      </c>
      <c r="F3" s="3" t="n">
        <v>10.5</v>
      </c>
      <c r="G3" s="3" t="n">
        <v>12</v>
      </c>
      <c r="H3" s="3" t="n">
        <v>13.5</v>
      </c>
      <c r="I3" s="3" t="n">
        <v>15</v>
      </c>
      <c r="J3" s="3" t="n">
        <v>16.5</v>
      </c>
      <c r="K3" s="3" t="n">
        <v>18</v>
      </c>
      <c r="L3" s="3" t="n">
        <v>19.5</v>
      </c>
      <c r="M3" s="3" t="n">
        <v>21</v>
      </c>
      <c r="N3" s="3" t="n">
        <v>22.5</v>
      </c>
      <c r="O3" s="3" t="n">
        <v>24</v>
      </c>
    </row>
    <row r="4">
      <c r="A4" s="24" t="n">
        <v>200</v>
      </c>
      <c r="B4" s="14" t="n">
        <v>31.65</v>
      </c>
      <c r="C4" s="14" t="n">
        <v>36.91</v>
      </c>
      <c r="D4" s="14" t="n">
        <v>40.98</v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24" t="n">
        <v>250</v>
      </c>
      <c r="B5" s="12" t="n"/>
      <c r="C5" s="14" t="n">
        <v>42.44</v>
      </c>
      <c r="D5" s="14" t="n">
        <v>47.54</v>
      </c>
      <c r="E5" s="14" t="n">
        <v>51.91</v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24" t="n">
        <v>300</v>
      </c>
      <c r="B6" s="12" t="n"/>
      <c r="C6" s="14" t="n">
        <v>48.04</v>
      </c>
      <c r="D6" s="14" t="n">
        <v>54.1</v>
      </c>
      <c r="E6" s="14" t="n">
        <v>59.33</v>
      </c>
      <c r="F6" s="14" t="n">
        <v>66.54000000000001</v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24" t="n">
        <v>350</v>
      </c>
      <c r="B7" s="12" t="n"/>
      <c r="C7" s="14" t="n">
        <v>53.57</v>
      </c>
      <c r="D7" s="14" t="n">
        <v>60.73</v>
      </c>
      <c r="E7" s="14" t="n">
        <v>66.92</v>
      </c>
      <c r="F7" s="14" t="n">
        <v>76.15000000000001</v>
      </c>
      <c r="G7" s="14" t="n">
        <v>81.40000000000001</v>
      </c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24" t="n">
        <v>400</v>
      </c>
      <c r="B8" s="12" t="n"/>
      <c r="C8" s="12" t="n"/>
      <c r="D8" s="14" t="n">
        <v>66.65000000000001</v>
      </c>
      <c r="E8" s="14" t="n">
        <v>74</v>
      </c>
      <c r="F8" s="14" t="n">
        <v>84.26000000000001</v>
      </c>
      <c r="G8" s="14" t="n">
        <v>90.45999999999999</v>
      </c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24" t="n">
        <v>450</v>
      </c>
      <c r="B9" s="12" t="n"/>
      <c r="C9" s="12" t="n"/>
      <c r="D9" s="14" t="n">
        <v>73.34</v>
      </c>
      <c r="E9" s="14" t="n">
        <v>81.7</v>
      </c>
      <c r="F9" s="14" t="n">
        <v>92.88</v>
      </c>
      <c r="G9" s="14" t="n">
        <v>99.93000000000001</v>
      </c>
      <c r="H9" s="14" t="n">
        <v>108.89</v>
      </c>
      <c r="I9" s="12" t="n"/>
      <c r="J9" s="12" t="n"/>
      <c r="K9" s="12" t="n"/>
      <c r="L9" s="12" t="n"/>
      <c r="M9" s="12" t="n"/>
      <c r="N9" s="12" t="n"/>
      <c r="O9" s="12" t="n"/>
    </row>
    <row r="10">
      <c r="A10" s="24" t="n">
        <v>500</v>
      </c>
      <c r="B10" s="12" t="n"/>
      <c r="C10" s="12" t="n"/>
      <c r="D10" s="12" t="n"/>
      <c r="E10" s="14" t="n">
        <v>89.61</v>
      </c>
      <c r="F10" s="14" t="n">
        <v>101.96</v>
      </c>
      <c r="G10" s="14" t="n">
        <v>109.89</v>
      </c>
      <c r="H10" s="14" t="n">
        <v>119.95</v>
      </c>
      <c r="I10" s="14" t="n">
        <v>128.83</v>
      </c>
      <c r="J10" s="12" t="n"/>
      <c r="K10" s="12" t="n"/>
      <c r="L10" s="12" t="n"/>
      <c r="M10" s="12" t="n"/>
      <c r="N10" s="12" t="n"/>
      <c r="O10" s="12" t="n"/>
    </row>
    <row r="11">
      <c r="A11" s="24" t="n">
        <v>550</v>
      </c>
      <c r="B11" s="12" t="n"/>
      <c r="C11" s="12" t="n"/>
      <c r="D11" s="12" t="n"/>
      <c r="E11" s="14" t="n">
        <v>97.45999999999999</v>
      </c>
      <c r="F11" s="14" t="n">
        <v>110.77</v>
      </c>
      <c r="G11" s="14" t="n">
        <v>119.87</v>
      </c>
      <c r="H11" s="14" t="n">
        <v>130.98</v>
      </c>
      <c r="I11" s="14" t="n">
        <v>140.72</v>
      </c>
      <c r="J11" s="12" t="n"/>
      <c r="K11" s="12" t="n"/>
      <c r="L11" s="12" t="n"/>
      <c r="M11" s="12" t="n"/>
      <c r="N11" s="12" t="n"/>
      <c r="O11" s="12" t="n"/>
    </row>
    <row r="12">
      <c r="A12" s="24" t="n">
        <v>600</v>
      </c>
      <c r="B12" s="12" t="n"/>
      <c r="C12" s="12" t="n"/>
      <c r="D12" s="12" t="n"/>
      <c r="E12" s="14" t="n">
        <v>103.87</v>
      </c>
      <c r="F12" s="14" t="n">
        <v>117.99</v>
      </c>
      <c r="G12" s="14" t="n">
        <v>128</v>
      </c>
      <c r="H12" s="14" t="n">
        <v>139.87</v>
      </c>
      <c r="I12" s="14" t="n">
        <v>150.76</v>
      </c>
      <c r="J12" s="12" t="n"/>
      <c r="K12" s="12" t="n"/>
      <c r="L12" s="12" t="n"/>
      <c r="M12" s="12" t="n"/>
      <c r="N12" s="12" t="n"/>
      <c r="O12" s="12" t="n"/>
    </row>
    <row r="13">
      <c r="A13" s="24" t="n">
        <v>650</v>
      </c>
      <c r="B13" s="12" t="n"/>
      <c r="C13" s="12" t="n"/>
      <c r="D13" s="12" t="n"/>
      <c r="E13" s="12" t="n"/>
      <c r="F13" s="14" t="n">
        <v>126.88</v>
      </c>
      <c r="G13" s="14" t="n">
        <v>137.56</v>
      </c>
      <c r="H13" s="14" t="n">
        <v>150.53</v>
      </c>
      <c r="I13" s="14" t="n">
        <v>162.11</v>
      </c>
      <c r="J13" s="14" t="n">
        <v>178.08</v>
      </c>
      <c r="K13" s="12" t="n"/>
      <c r="L13" s="12" t="n"/>
      <c r="M13" s="12" t="n"/>
      <c r="N13" s="12" t="n"/>
      <c r="O13" s="12" t="n"/>
    </row>
    <row r="14">
      <c r="A14" s="24" t="n">
        <v>700</v>
      </c>
      <c r="B14" s="12" t="n"/>
      <c r="C14" s="12" t="n"/>
      <c r="D14" s="12" t="n"/>
      <c r="E14" s="12" t="n"/>
      <c r="F14" s="14" t="n">
        <v>135.77</v>
      </c>
      <c r="G14" s="14" t="n">
        <v>146.72</v>
      </c>
      <c r="H14" s="14" t="n">
        <v>160.79</v>
      </c>
      <c r="I14" s="14" t="n">
        <v>173.3</v>
      </c>
      <c r="J14" s="14" t="n">
        <v>190.45</v>
      </c>
      <c r="K14" s="12" t="n"/>
      <c r="L14" s="12" t="n"/>
      <c r="M14" s="12" t="n"/>
      <c r="N14" s="12" t="n"/>
      <c r="O14" s="12" t="n"/>
    </row>
    <row r="15">
      <c r="A15" s="24" t="n">
        <v>750</v>
      </c>
      <c r="B15" s="12" t="n"/>
      <c r="C15" s="12" t="n"/>
      <c r="D15" s="12" t="n"/>
      <c r="E15" s="12" t="n"/>
      <c r="F15" s="12" t="n"/>
      <c r="G15" s="14" t="n">
        <v>156.31</v>
      </c>
      <c r="H15" s="14" t="n">
        <v>171.45</v>
      </c>
      <c r="I15" s="14" t="n">
        <v>184.81</v>
      </c>
      <c r="J15" s="14" t="n">
        <v>203.06</v>
      </c>
      <c r="K15" s="14" t="n">
        <v>216.57</v>
      </c>
      <c r="L15" s="12" t="n"/>
      <c r="M15" s="12" t="n"/>
      <c r="N15" s="12" t="n"/>
      <c r="O15" s="12" t="n"/>
    </row>
    <row r="16">
      <c r="A16" s="24" t="n">
        <v>800</v>
      </c>
      <c r="B16" s="12" t="n"/>
      <c r="C16" s="12" t="n"/>
      <c r="D16" s="12" t="n"/>
      <c r="E16" s="12" t="n"/>
      <c r="F16" s="12" t="n"/>
      <c r="G16" s="14" t="n">
        <v>165.94</v>
      </c>
      <c r="H16" s="14" t="n">
        <v>183.29</v>
      </c>
      <c r="I16" s="14" t="n">
        <v>197.99</v>
      </c>
      <c r="J16" s="14" t="n">
        <v>217.33</v>
      </c>
      <c r="K16" s="14" t="n">
        <v>230.35</v>
      </c>
      <c r="L16" s="12" t="n"/>
      <c r="M16" s="12" t="n"/>
      <c r="N16" s="12" t="n"/>
      <c r="O16" s="12" t="n"/>
    </row>
    <row r="17">
      <c r="A17" s="24" t="n">
        <v>850</v>
      </c>
      <c r="B17" s="12" t="n"/>
      <c r="C17" s="12" t="n"/>
      <c r="D17" s="12" t="n"/>
      <c r="E17" s="12" t="n"/>
      <c r="F17" s="12" t="n"/>
      <c r="G17" s="12" t="n"/>
      <c r="H17" s="14" t="n">
        <v>193.75</v>
      </c>
      <c r="I17" s="14" t="n">
        <v>208.47</v>
      </c>
      <c r="J17" s="14" t="n">
        <v>229.23</v>
      </c>
      <c r="K17" s="14" t="n">
        <v>242.68</v>
      </c>
      <c r="L17" s="14" t="n">
        <v>261.37</v>
      </c>
      <c r="M17" s="12" t="n"/>
      <c r="N17" s="12" t="n"/>
      <c r="O17" s="12" t="n"/>
    </row>
    <row r="18">
      <c r="A18" s="24" t="n">
        <v>900</v>
      </c>
      <c r="B18" s="12" t="n"/>
      <c r="C18" s="12" t="n"/>
      <c r="D18" s="12" t="n"/>
      <c r="E18" s="12" t="n"/>
      <c r="F18" s="12" t="n"/>
      <c r="G18" s="12" t="n"/>
      <c r="H18" s="14" t="n">
        <v>202.53</v>
      </c>
      <c r="I18" s="14" t="n">
        <v>218.95</v>
      </c>
      <c r="J18" s="14" t="n">
        <v>240.23</v>
      </c>
      <c r="K18" s="14" t="n">
        <v>254.97</v>
      </c>
      <c r="L18" s="14" t="n">
        <v>274.74</v>
      </c>
      <c r="M18" s="12" t="n"/>
      <c r="N18" s="12" t="n"/>
      <c r="O18" s="12" t="n"/>
    </row>
    <row r="19">
      <c r="A19" s="24" t="n">
        <v>950</v>
      </c>
      <c r="B19" s="12" t="n"/>
      <c r="C19" s="12" t="n"/>
      <c r="D19" s="12" t="n"/>
      <c r="E19" s="12" t="n"/>
      <c r="F19" s="12" t="n"/>
      <c r="G19" s="12" t="n"/>
      <c r="H19" s="12" t="n"/>
      <c r="I19" s="14" t="n">
        <v>229.42</v>
      </c>
      <c r="J19" s="14" t="n">
        <v>252.76</v>
      </c>
      <c r="K19" s="14" t="n">
        <v>268.53</v>
      </c>
      <c r="L19" s="14" t="n">
        <v>289.53</v>
      </c>
      <c r="M19" s="14" t="n">
        <v>308.87</v>
      </c>
      <c r="N19" s="12" t="n"/>
      <c r="O19" s="12" t="n"/>
    </row>
    <row r="20">
      <c r="A20" s="24" t="n">
        <v>1000</v>
      </c>
      <c r="B20" s="12" t="n"/>
      <c r="C20" s="12" t="n"/>
      <c r="D20" s="12" t="n"/>
      <c r="E20" s="12" t="n"/>
      <c r="F20" s="12" t="n"/>
      <c r="G20" s="12" t="n"/>
      <c r="H20" s="12" t="n"/>
      <c r="I20" s="14" t="n">
        <v>245.06</v>
      </c>
      <c r="J20" s="14" t="n">
        <v>268.39</v>
      </c>
      <c r="K20" s="14" t="n">
        <v>285.39</v>
      </c>
      <c r="L20" s="14" t="n">
        <v>307.66</v>
      </c>
      <c r="M20" s="14" t="n">
        <v>324.51</v>
      </c>
      <c r="N20" s="12" t="n"/>
      <c r="O20" s="12" t="n"/>
    </row>
    <row r="21">
      <c r="A21" s="24" t="n">
        <v>1050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4" t="n">
        <v>281.94</v>
      </c>
      <c r="K21" s="14" t="n">
        <v>299.17</v>
      </c>
      <c r="L21" s="14" t="n">
        <v>321.65</v>
      </c>
      <c r="M21" s="14" t="n">
        <v>340.65</v>
      </c>
      <c r="N21" s="14" t="n">
        <v>365.87</v>
      </c>
      <c r="O21" s="12" t="n"/>
    </row>
    <row r="22">
      <c r="A22" s="24" t="n">
        <v>1100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4" t="n">
        <v>295.81</v>
      </c>
      <c r="K22" s="14" t="n">
        <v>312.91</v>
      </c>
      <c r="L22" s="14" t="n">
        <v>336.96</v>
      </c>
      <c r="M22" s="14" t="n">
        <v>356.41</v>
      </c>
      <c r="N22" s="14" t="n">
        <v>380.42</v>
      </c>
      <c r="O22" s="12" t="n"/>
    </row>
    <row r="23">
      <c r="A23" s="24" t="n">
        <v>1150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4" t="n">
        <v>326.66</v>
      </c>
      <c r="L23" s="14" t="n">
        <v>352.27</v>
      </c>
      <c r="M23" s="14" t="n">
        <v>372.17</v>
      </c>
      <c r="N23" s="14" t="n">
        <v>394.97</v>
      </c>
      <c r="O23" s="14" t="n">
        <v>417.74</v>
      </c>
    </row>
    <row r="24">
      <c r="A24" s="24" t="n">
        <v>1200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4" t="n">
        <v>340.28</v>
      </c>
      <c r="L24" s="14" t="n">
        <v>367.17</v>
      </c>
      <c r="M24" s="14" t="n">
        <v>386.18</v>
      </c>
      <c r="N24" s="14" t="n">
        <v>410.52</v>
      </c>
      <c r="O24" s="14" t="n">
        <v>434.81</v>
      </c>
    </row>
    <row r="25">
      <c r="A25" s="24" t="n">
        <v>1250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4" t="n">
        <v>354.05</v>
      </c>
      <c r="L25" s="14" t="n">
        <v>381.98</v>
      </c>
      <c r="M25" s="14" t="n">
        <v>401.82</v>
      </c>
      <c r="N25" s="14" t="n">
        <v>427.24</v>
      </c>
      <c r="O25" s="14" t="n">
        <v>452.57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20" t="inlineStr">
        <is>
          <t>DROGE KOUS — prijs per meter (€/m)</t>
        </is>
      </c>
    </row>
    <row r="2">
      <c r="A2" s="23" t="inlineStr">
        <is>
          <t>⚠ Controleer/actualiseer deze prijzen. DN100–500 betrouwbaar overgenomen; controleer DN≥550 extra zorgvuldig.</t>
        </is>
      </c>
    </row>
    <row r="3">
      <c r="A3" s="3" t="inlineStr">
        <is>
          <t>DN \ Dikte (mm)</t>
        </is>
      </c>
      <c r="B3" s="3" t="n">
        <v>3</v>
      </c>
      <c r="C3" s="3" t="n">
        <v>4.5</v>
      </c>
      <c r="D3" s="3" t="n">
        <v>6</v>
      </c>
      <c r="E3" s="3" t="n">
        <v>7.5</v>
      </c>
      <c r="F3" s="3" t="n">
        <v>9</v>
      </c>
      <c r="G3" s="3" t="n">
        <v>10.5</v>
      </c>
      <c r="H3" s="3" t="n">
        <v>12</v>
      </c>
      <c r="I3" s="3" t="n">
        <v>13.5</v>
      </c>
      <c r="J3" s="3" t="n">
        <v>15</v>
      </c>
      <c r="K3" s="3" t="n">
        <v>16.5</v>
      </c>
      <c r="L3" s="3" t="n">
        <v>18</v>
      </c>
      <c r="M3" s="3" t="n">
        <v>19.5</v>
      </c>
      <c r="N3" s="3" t="n">
        <v>21</v>
      </c>
      <c r="O3" s="3" t="n">
        <v>22.5</v>
      </c>
      <c r="P3" s="3" t="n">
        <v>24</v>
      </c>
      <c r="Q3" s="3" t="n">
        <v>25.5</v>
      </c>
      <c r="R3" s="3" t="n">
        <v>27</v>
      </c>
      <c r="S3" s="3" t="n">
        <v>28.5</v>
      </c>
      <c r="T3" s="3" t="n">
        <v>30</v>
      </c>
    </row>
    <row r="4">
      <c r="A4" s="24" t="n">
        <v>100</v>
      </c>
      <c r="B4" s="14" t="n">
        <v>3.79</v>
      </c>
      <c r="C4" s="14" t="n">
        <v>4.39</v>
      </c>
      <c r="D4" s="14" t="n">
        <v>4.71</v>
      </c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</row>
    <row r="5">
      <c r="A5" s="24" t="n">
        <v>150</v>
      </c>
      <c r="B5" s="14" t="n">
        <v>4.81</v>
      </c>
      <c r="C5" s="14" t="n">
        <v>5.71</v>
      </c>
      <c r="D5" s="14" t="n">
        <v>6.02</v>
      </c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</row>
    <row r="6">
      <c r="A6" s="24" t="n">
        <v>200</v>
      </c>
      <c r="B6" s="14" t="n">
        <v>6.15</v>
      </c>
      <c r="C6" s="14" t="n">
        <v>7.2</v>
      </c>
      <c r="D6" s="14" t="n">
        <v>7.38</v>
      </c>
      <c r="E6" s="14" t="n">
        <v>8.18</v>
      </c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</row>
    <row r="7">
      <c r="A7" s="24" t="n">
        <v>225</v>
      </c>
      <c r="B7" s="14" t="n">
        <v>6.92</v>
      </c>
      <c r="C7" s="14" t="n">
        <v>8.130000000000001</v>
      </c>
      <c r="D7" s="14" t="n">
        <v>8.24</v>
      </c>
      <c r="E7" s="14" t="n">
        <v>9.220000000000001</v>
      </c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</row>
    <row r="8">
      <c r="A8" s="24" t="n">
        <v>250</v>
      </c>
      <c r="B8" s="14" t="n">
        <v>7.69</v>
      </c>
      <c r="C8" s="14" t="n">
        <v>8.94</v>
      </c>
      <c r="D8" s="14" t="n">
        <v>9.050000000000001</v>
      </c>
      <c r="E8" s="14" t="n">
        <v>10.03</v>
      </c>
      <c r="F8" s="14" t="n">
        <v>10.54</v>
      </c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</row>
    <row r="9">
      <c r="A9" s="24" t="n">
        <v>300</v>
      </c>
      <c r="B9" s="14" t="n">
        <v>9.220000000000001</v>
      </c>
      <c r="C9" s="14" t="n">
        <v>10.73</v>
      </c>
      <c r="D9" s="14" t="n">
        <v>10.77</v>
      </c>
      <c r="E9" s="14" t="n">
        <v>11.88</v>
      </c>
      <c r="F9" s="14" t="n">
        <v>12.45</v>
      </c>
      <c r="G9" s="14" t="n">
        <v>14.41</v>
      </c>
      <c r="H9" s="14" t="n">
        <v>14.93</v>
      </c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</row>
    <row r="10">
      <c r="A10" s="24" t="n">
        <v>350</v>
      </c>
      <c r="B10" s="14" t="n">
        <v>10.76</v>
      </c>
      <c r="C10" s="14" t="n">
        <v>12.53</v>
      </c>
      <c r="D10" s="14" t="n">
        <v>12.45</v>
      </c>
      <c r="E10" s="14" t="n">
        <v>13.78</v>
      </c>
      <c r="F10" s="14" t="n">
        <v>14.47</v>
      </c>
      <c r="G10" s="14" t="n">
        <v>17.3</v>
      </c>
      <c r="H10" s="14" t="n">
        <v>17.41</v>
      </c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</row>
    <row r="11">
      <c r="A11" s="24" t="n">
        <v>400</v>
      </c>
      <c r="B11" s="14" t="n">
        <v>12.08</v>
      </c>
      <c r="C11" s="14" t="n">
        <v>13.65</v>
      </c>
      <c r="D11" s="14" t="n">
        <v>13.77</v>
      </c>
      <c r="E11" s="14" t="n">
        <v>15.18</v>
      </c>
      <c r="F11" s="14" t="n">
        <v>16.14</v>
      </c>
      <c r="G11" s="14" t="n">
        <v>19.15</v>
      </c>
      <c r="H11" s="14" t="n">
        <v>19.37</v>
      </c>
      <c r="I11" s="14" t="n">
        <v>20.84</v>
      </c>
      <c r="J11" s="14" t="n">
        <v>21.86</v>
      </c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</row>
    <row r="12">
      <c r="A12" s="24" t="n">
        <v>450</v>
      </c>
      <c r="B12" s="25" t="n"/>
      <c r="C12" s="25" t="n"/>
      <c r="D12" s="14" t="n">
        <v>15.35</v>
      </c>
      <c r="E12" s="14" t="n">
        <v>17.12</v>
      </c>
      <c r="F12" s="14" t="n">
        <v>18.24</v>
      </c>
      <c r="G12" s="14" t="n">
        <v>21.34</v>
      </c>
      <c r="H12" s="14" t="n">
        <v>21.62</v>
      </c>
      <c r="I12" s="14" t="n">
        <v>23.24</v>
      </c>
      <c r="J12" s="14" t="n">
        <v>24.36</v>
      </c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</row>
    <row r="13">
      <c r="A13" s="24" t="n">
        <v>500</v>
      </c>
      <c r="B13" s="25" t="n"/>
      <c r="C13" s="25" t="n"/>
      <c r="D13" s="14" t="n">
        <v>17.06</v>
      </c>
      <c r="E13" s="14" t="n">
        <v>19.49</v>
      </c>
      <c r="F13" s="14" t="n">
        <v>20.49</v>
      </c>
      <c r="G13" s="14" t="n">
        <v>23.86</v>
      </c>
      <c r="H13" s="14" t="n">
        <v>24.2</v>
      </c>
      <c r="I13" s="14" t="n">
        <v>26.05</v>
      </c>
      <c r="J13" s="14" t="n">
        <v>27.12</v>
      </c>
      <c r="K13" s="14" t="n">
        <v>30.43</v>
      </c>
      <c r="L13" s="14" t="n">
        <v>30.99</v>
      </c>
      <c r="M13" s="25" t="n"/>
      <c r="N13" s="25" t="n"/>
      <c r="O13" s="25" t="n"/>
      <c r="P13" s="25" t="n"/>
      <c r="Q13" s="25" t="n"/>
      <c r="R13" s="25" t="n"/>
      <c r="S13" s="25" t="n"/>
      <c r="T13" s="25" t="n"/>
    </row>
    <row r="14">
      <c r="A14" s="24" t="n">
        <v>550</v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</row>
    <row r="15">
      <c r="A15" s="24" t="n">
        <v>600</v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</row>
    <row r="16">
      <c r="A16" s="24" t="n">
        <v>650</v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</row>
    <row r="17">
      <c r="A17" s="24" t="n">
        <v>700</v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</row>
    <row r="18">
      <c r="A18" s="24" t="n">
        <v>750</v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</row>
    <row r="19">
      <c r="A19" s="24" t="n">
        <v>800</v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</row>
    <row r="20">
      <c r="A20" s="24" t="n">
        <v>850</v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</row>
    <row r="21">
      <c r="A21" s="24" t="n">
        <v>900</v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</row>
    <row r="22">
      <c r="A22" s="24" t="n">
        <v>950</v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</row>
    <row r="23">
      <c r="A23" s="24" t="n">
        <v>1000</v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</row>
    <row r="24">
      <c r="A24" s="24" t="n">
        <v>1050</v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</row>
    <row r="25">
      <c r="A25" s="24" t="n">
        <v>1100</v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</row>
    <row r="26">
      <c r="A26" s="24" t="n">
        <v>1150</v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</row>
    <row r="27">
      <c r="A27" s="24" t="n">
        <v>1200</v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</row>
    <row r="28">
      <c r="A28" s="24" t="n">
        <v>1250</v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</row>
    <row r="29">
      <c r="A29" s="24" t="n">
        <v>1300</v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</row>
    <row r="30">
      <c r="A30" s="24" t="n">
        <v>1350</v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</row>
    <row r="31">
      <c r="A31" s="24" t="n">
        <v>1400</v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</row>
    <row r="32">
      <c r="A32" s="24" t="n">
        <v>1450</v>
      </c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</row>
    <row r="33">
      <c r="A33" s="24" t="n">
        <v>1500</v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>
      <c r="A1" s="20" t="inlineStr">
        <is>
          <t>SUNDRY — toebehoren (€)</t>
        </is>
      </c>
    </row>
    <row r="2">
      <c r="A2" s="23" t="inlineStr">
        <is>
          <t>⚠ Controleer/actualiseer. Eindstuk=Soft End, Omslaan=Turn Back, Verloop=Transition. Opzoeking op DN (ondergrens).</t>
        </is>
      </c>
    </row>
    <row r="3">
      <c r="A3" s="3" t="inlineStr">
        <is>
          <t>DN ondergrens</t>
        </is>
      </c>
      <c r="B3" s="3" t="inlineStr">
        <is>
          <t>Bereik</t>
        </is>
      </c>
      <c r="C3" s="3" t="inlineStr">
        <is>
          <t>Transition (Verloop)</t>
        </is>
      </c>
      <c r="D3" s="3" t="inlineStr">
        <is>
          <t>Soft End (Eindstuk)</t>
        </is>
      </c>
      <c r="E3" s="3" t="inlineStr">
        <is>
          <t>Turn Back (Omslaan)</t>
        </is>
      </c>
      <c r="F3" s="3" t="inlineStr">
        <is>
          <t>Short Length</t>
        </is>
      </c>
      <c r="G3" s="3" t="inlineStr">
        <is>
          <t>Min. order (m)</t>
        </is>
      </c>
    </row>
    <row r="4">
      <c r="A4" s="26" t="n">
        <v>0</v>
      </c>
      <c r="B4" s="27" t="inlineStr">
        <is>
          <t>0 - 250</t>
        </is>
      </c>
      <c r="C4" s="14" t="n">
        <v>235.72</v>
      </c>
      <c r="D4" s="14" t="n">
        <v>160.98</v>
      </c>
      <c r="E4" s="14" t="n">
        <v>160.98</v>
      </c>
      <c r="F4" s="14" t="n">
        <v>0</v>
      </c>
      <c r="G4" s="12" t="n">
        <v>0</v>
      </c>
    </row>
    <row r="5">
      <c r="A5" s="26" t="n">
        <v>251</v>
      </c>
      <c r="B5" s="27" t="inlineStr">
        <is>
          <t>251 - 300</t>
        </is>
      </c>
      <c r="C5" s="14" t="n">
        <v>252.96</v>
      </c>
      <c r="D5" s="14" t="n">
        <v>160.98</v>
      </c>
      <c r="E5" s="14" t="n">
        <v>160.98</v>
      </c>
      <c r="F5" s="14" t="n">
        <v>0</v>
      </c>
      <c r="G5" s="12" t="n">
        <v>0</v>
      </c>
    </row>
    <row r="6">
      <c r="A6" s="26" t="n">
        <v>301</v>
      </c>
      <c r="B6" s="27" t="inlineStr">
        <is>
          <t>301 - 350</t>
        </is>
      </c>
      <c r="C6" s="14" t="n">
        <v>264.46</v>
      </c>
      <c r="D6" s="14" t="n">
        <v>160.98</v>
      </c>
      <c r="E6" s="14" t="n">
        <v>160.98</v>
      </c>
      <c r="F6" s="14" t="n">
        <v>0</v>
      </c>
      <c r="G6" s="12" t="n">
        <v>0</v>
      </c>
    </row>
    <row r="7">
      <c r="A7" s="26" t="n">
        <v>351</v>
      </c>
      <c r="B7" s="27" t="inlineStr">
        <is>
          <t>351 - 400</t>
        </is>
      </c>
      <c r="C7" s="14" t="n">
        <v>264.46</v>
      </c>
      <c r="D7" s="14" t="n">
        <v>166.73</v>
      </c>
      <c r="E7" s="14" t="n">
        <v>166.73</v>
      </c>
      <c r="F7" s="14" t="n">
        <v>0</v>
      </c>
      <c r="G7" s="12" t="n">
        <v>0</v>
      </c>
    </row>
    <row r="8">
      <c r="A8" s="26" t="n">
        <v>401</v>
      </c>
      <c r="B8" s="27" t="inlineStr">
        <is>
          <t>401 - 450</t>
        </is>
      </c>
      <c r="C8" s="14" t="n">
        <v>298.96</v>
      </c>
      <c r="D8" s="14" t="n">
        <v>189.72</v>
      </c>
      <c r="E8" s="14" t="n">
        <v>189.72</v>
      </c>
      <c r="F8" s="14" t="n">
        <v>0</v>
      </c>
      <c r="G8" s="12" t="n">
        <v>0</v>
      </c>
    </row>
    <row r="9">
      <c r="A9" s="26" t="n">
        <v>451</v>
      </c>
      <c r="B9" s="27" t="inlineStr">
        <is>
          <t>451 - 550</t>
        </is>
      </c>
      <c r="C9" s="14" t="n">
        <v>327.7</v>
      </c>
      <c r="D9" s="14" t="n">
        <v>195.47</v>
      </c>
      <c r="E9" s="14" t="n">
        <v>195.47</v>
      </c>
      <c r="F9" s="14" t="n">
        <v>0</v>
      </c>
      <c r="G9" s="12" t="n">
        <v>0</v>
      </c>
    </row>
    <row r="10">
      <c r="A10" s="26" t="n">
        <v>551</v>
      </c>
      <c r="B10" s="27" t="inlineStr">
        <is>
          <t>551 - 650</t>
        </is>
      </c>
      <c r="C10" s="14" t="n">
        <v>344.95</v>
      </c>
      <c r="D10" s="14" t="n">
        <v>252.96</v>
      </c>
      <c r="E10" s="14" t="n">
        <v>252.96</v>
      </c>
      <c r="F10" s="14" t="n">
        <v>574.92</v>
      </c>
      <c r="G10" s="12" t="n">
        <v>80</v>
      </c>
    </row>
    <row r="11">
      <c r="A11" s="26" t="n">
        <v>651</v>
      </c>
      <c r="B11" s="27" t="inlineStr">
        <is>
          <t>651 - 750</t>
        </is>
      </c>
      <c r="C11" s="14" t="n">
        <v>379.45</v>
      </c>
      <c r="D11" s="14" t="n">
        <v>321.96</v>
      </c>
      <c r="E11" s="14" t="n">
        <v>321.96</v>
      </c>
      <c r="F11" s="14" t="n">
        <v>574.92</v>
      </c>
      <c r="G11" s="12" t="n">
        <v>50</v>
      </c>
    </row>
    <row r="12">
      <c r="A12" s="26" t="n">
        <v>751</v>
      </c>
      <c r="B12" s="27" t="inlineStr">
        <is>
          <t>751 - 850</t>
        </is>
      </c>
      <c r="C12" s="14" t="n">
        <v>402.44</v>
      </c>
      <c r="D12" s="14" t="n">
        <v>385.2</v>
      </c>
      <c r="E12" s="14" t="n">
        <v>385.2</v>
      </c>
      <c r="F12" s="14" t="n">
        <v>574.92</v>
      </c>
      <c r="G12" s="12" t="n">
        <v>50</v>
      </c>
    </row>
    <row r="13">
      <c r="A13" s="26" t="n">
        <v>851</v>
      </c>
      <c r="B13" s="27" t="inlineStr">
        <is>
          <t>851 - 900</t>
        </is>
      </c>
      <c r="C13" s="14" t="n">
        <v>459.94</v>
      </c>
      <c r="D13" s="14" t="n">
        <v>431.19</v>
      </c>
      <c r="E13" s="14" t="n">
        <v>431.19</v>
      </c>
      <c r="F13" s="14" t="n">
        <v>574.92</v>
      </c>
      <c r="G13" s="12" t="n">
        <v>50</v>
      </c>
    </row>
    <row r="14">
      <c r="A14" s="26" t="n">
        <v>901</v>
      </c>
      <c r="B14" s="27" t="inlineStr">
        <is>
          <t>901 - 950</t>
        </is>
      </c>
      <c r="C14" s="14" t="n">
        <v>517.4299999999999</v>
      </c>
      <c r="D14" s="14" t="n">
        <v>459.94</v>
      </c>
      <c r="E14" s="14" t="n">
        <v>459.94</v>
      </c>
      <c r="F14" s="14" t="n">
        <v>574.92</v>
      </c>
      <c r="G14" s="12" t="n">
        <v>50</v>
      </c>
    </row>
    <row r="15">
      <c r="A15" s="26" t="n">
        <v>951</v>
      </c>
      <c r="B15" s="27" t="inlineStr">
        <is>
          <t>951 - 1100</t>
        </is>
      </c>
      <c r="C15" s="14" t="n">
        <v>574.92</v>
      </c>
      <c r="D15" s="14" t="n">
        <v>488.68</v>
      </c>
      <c r="E15" s="14" t="n">
        <v>488.68</v>
      </c>
      <c r="F15" s="14" t="n">
        <v>574.92</v>
      </c>
      <c r="G15" s="12" t="n">
        <v>50</v>
      </c>
    </row>
    <row r="16">
      <c r="A16" s="26" t="n">
        <v>1101</v>
      </c>
      <c r="B16" s="27" t="inlineStr">
        <is>
          <t>1101 - 1150</t>
        </is>
      </c>
      <c r="C16" s="14" t="n">
        <v>689.9</v>
      </c>
      <c r="D16" s="14" t="n">
        <v>580.67</v>
      </c>
      <c r="E16" s="14" t="n">
        <v>580.67</v>
      </c>
      <c r="F16" s="14" t="n">
        <v>574.92</v>
      </c>
      <c r="G16" s="12" t="n">
        <v>25</v>
      </c>
    </row>
    <row r="17">
      <c r="A17" s="26" t="n">
        <v>1151</v>
      </c>
      <c r="B17" s="27" t="inlineStr">
        <is>
          <t>1151 - 1250</t>
        </is>
      </c>
      <c r="C17" s="14" t="n">
        <v>804.89</v>
      </c>
      <c r="D17" s="14" t="n">
        <v>672.66</v>
      </c>
      <c r="E17" s="14" t="n">
        <v>672.66</v>
      </c>
      <c r="F17" s="14" t="n">
        <v>574.92</v>
      </c>
      <c r="G17" s="12" t="n">
        <v>25</v>
      </c>
    </row>
    <row r="18">
      <c r="A18" s="26" t="n">
        <v>1251</v>
      </c>
      <c r="B18" s="27" t="inlineStr">
        <is>
          <t>1251 - 1400</t>
        </is>
      </c>
      <c r="C18" s="14" t="n">
        <v>862.38</v>
      </c>
      <c r="D18" s="14" t="n">
        <v>718.65</v>
      </c>
      <c r="E18" s="14" t="n">
        <v>718.65</v>
      </c>
      <c r="F18" s="14" t="n">
        <v>574.92</v>
      </c>
      <c r="G18" s="12" t="n">
        <v>25</v>
      </c>
    </row>
    <row r="19">
      <c r="A19" s="26" t="n">
        <v>1401</v>
      </c>
      <c r="B19" s="27" t="inlineStr">
        <is>
          <t>1401 - 1600</t>
        </is>
      </c>
      <c r="C19" s="14" t="n">
        <v>1149.84</v>
      </c>
      <c r="D19" s="14" t="n">
        <v>862.38</v>
      </c>
      <c r="E19" s="14" t="n">
        <v>862.38</v>
      </c>
      <c r="F19" s="14" t="n">
        <v>574.92</v>
      </c>
      <c r="G19" s="12" t="n">
        <v>25</v>
      </c>
    </row>
    <row r="20">
      <c r="A20" s="26" t="n">
        <v>1601</v>
      </c>
      <c r="B20" s="27" t="inlineStr">
        <is>
          <t>1601 +</t>
        </is>
      </c>
      <c r="C20" s="14" t="n">
        <v>1494.79</v>
      </c>
      <c r="D20" s="14" t="n">
        <v>1149.84</v>
      </c>
      <c r="E20" s="14" t="n">
        <v>1149.84</v>
      </c>
      <c r="F20" s="14" t="n">
        <v>574.92</v>
      </c>
      <c r="G20" s="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2026-06-24T06:25:55Z</dcterms:created>
  <dcterms:modified xsi:type="dcterms:W3CDTF">2026-06-24T06:25:55Z</dcterms:modified>
</cp:coreProperties>
</file>